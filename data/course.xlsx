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" sheetId="1" r:id="rId5"/>
    <sheet state="visible" name="REFERENCES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<sst xmlns="http://schemas.openxmlformats.org/spreadsheetml/2006/main" count="516" uniqueCount="208">
  <si>
    <t>✅</t>
  </si>
  <si>
    <t>COURS</t>
  </si>
  <si>
    <t>CHAPITRE</t>
  </si>
  <si>
    <t>IMPORTANCE</t>
  </si>
  <si>
    <t>Algèbre linéaire</t>
  </si>
  <si>
    <t>Vecteurs et espaces vectoriels</t>
  </si>
  <si>
    <t>Accessoire</t>
  </si>
  <si>
    <t>Matrices d'applications linéaires</t>
  </si>
  <si>
    <t>Changement de système de coordonnées</t>
  </si>
  <si>
    <t>Statistiques et probabilités</t>
  </si>
  <si>
    <t>Séries statistiques à caractère qualitatif</t>
  </si>
  <si>
    <t>Indispensable</t>
  </si>
  <si>
    <t>Représentation et comparaison de données quantitatives</t>
  </si>
  <si>
    <t>Résumer une série statistique à caractère quantitatif</t>
  </si>
  <si>
    <t>Modélisation des distributions des données</t>
  </si>
  <si>
    <t>Probabilités de base (événements, conditionnelle, indépendance)</t>
  </si>
  <si>
    <t>Important</t>
  </si>
  <si>
    <t>Bases</t>
  </si>
  <si>
    <t>Variables, types de données, listes, dictionnaires, tuples</t>
  </si>
  <si>
    <t>Boucles, conditions, fonctions, lambda</t>
  </si>
  <si>
    <t>Gestion des erreurs (try/except)</t>
  </si>
  <si>
    <t>Modules et packages</t>
  </si>
  <si>
    <t>Gestion d'environnements virtuels (venv)</t>
  </si>
  <si>
    <t>Exercice : Créer un projet venv propre et installer les packages dont tu auras besoin plus tard (numpy, pandas, matplotlib, seaborn, jupyter).</t>
  </si>
  <si>
    <t>NumPy</t>
  </si>
  <si>
    <t>Création et manipulation de tableaux (arrays)</t>
  </si>
  <si>
    <t>Opérations vectorielles (addition, multiplication, broadcasting)</t>
  </si>
  <si>
    <t>Indexation, slicing, reshaping</t>
  </si>
  <si>
    <t>Fonctions mathématiques (mean, std, sum, etc.)</t>
  </si>
  <si>
    <t>Lecture/écriture de fichiers .npy</t>
  </si>
  <si>
    <t>Exercice : Prendre un fichier CSV, le charger avec NumPy, calculer des statistiques simples (moyenne, écart-type, corrélations) sans utiliser Pandas.</t>
  </si>
  <si>
    <t>Pandas</t>
  </si>
  <si>
    <t>Création de DataFrames et Series</t>
  </si>
  <si>
    <t>Lecture/écriture de fichiers (CSV, JSON, Excel, SQL)</t>
  </si>
  <si>
    <t>Nettoyage de données (missing values, duplicates, types)</t>
  </si>
  <si>
    <t>Sélection et filtrage (loc, iloc, query)</t>
  </si>
  <si>
    <t>GroupBy et agrégations</t>
  </si>
  <si>
    <t>Merge / Join de DataFrames</t>
  </si>
  <si>
    <t xml:space="preserve">Transformation de données (apply, map, replace)
</t>
  </si>
  <si>
    <t>Gestion des dates (datetime)</t>
  </si>
  <si>
    <t>Exercices : Charger un gros dataset Kaggle (ex. Titanic ou House Prices), nettoyer complètement les données, faire 10 analyses différentes (group by, pivot, etc.)</t>
  </si>
  <si>
    <t>Visualisation</t>
  </si>
  <si>
    <t>Matplotlib : bases (figures, subplots, styles)</t>
  </si>
  <si>
    <t>Seaborn : graphiques statistiques élégants (boxplot, heatmap, pairplot, etc.)</t>
  </si>
  <si>
    <t>Plotly (optionnel mais très bien vu) : graphiques interactifs</t>
  </si>
  <si>
    <t>Exercice obligatoire : À partir du même dataset que Pandas, créer : 1 histogramme + boxplot, 1 heatmap de corrélations.</t>
  </si>
  <si>
    <t>SELECT, WHERE, ORDER BY, LIMIT/OFFSET</t>
  </si>
  <si>
    <t>JOIN (INNER, LEFT, RIGHT, FULL, CROSS)</t>
  </si>
  <si>
    <t>GROUP BY + HAVING</t>
  </si>
  <si>
    <t>Agrégations classiques (COUNT, SUM, AVG, MIN, MAX)</t>
  </si>
  <si>
    <t>Sous-requêtes simples</t>
  </si>
  <si>
    <t>Exercices : Résoudre au moins 30 exercices sur PGExercises ou HackerRank. Refaire 5-6 requêtes existantes en les rendant plus propres et optimisées.</t>
  </si>
  <si>
    <t>Window functions, CTE, optimisation, index</t>
  </si>
  <si>
    <t>Window functions : ROW_NUMBER(), RANK(), DENSE_RANK(), LAG(), LEAD(), SUM()/AVG()/COUNT() OVER(), PARTITION BY, ORDER BY dans la fenêtre</t>
  </si>
  <si>
    <t>CTE (Common Table Expressions) : WITH … AS, CTE récursives (basiques)</t>
  </si>
  <si>
    <t>Optimisation : EXPLAIN, EXPLAIN ANALYZE, utilisation d'index, query planning</t>
  </si>
  <si>
    <t>Index : Création (B-tree, Hash), quand et pourquoi les utiliser, impact sur les performances</t>
  </si>
  <si>
    <t>Exercice : Running total, RANK/DENSE_RANK, LAG/LEAD, 2-3 CTE. (EXPLAIN ANALYZE + index : skip)</t>
  </si>
  <si>
    <t>PostgreSQL</t>
  </si>
  <si>
    <t>Relations &amp; contraintes — Clés primaires / étrangères, contraintes (NOT NULL, UNIQUE, CHECK, DEFAULT), types de cardinalités (1:1, 1:N, N:N)</t>
  </si>
  <si>
    <t>Normalisation (1NF, 2NF, 3NF)</t>
  </si>
  <si>
    <t>Modélisation — Création de schémas (CREATE TABLE)</t>
  </si>
  <si>
    <t>Modélisation simple de Data Warehouse (star schema / snowflake)</t>
  </si>
  <si>
    <t>Index et performances de base</t>
  </si>
  <si>
    <t>Intégration Python — Connexion avec psycopg2, exécution de requêtes paramétrées, récupération des résultats en DataFrame Pandas</t>
  </si>
  <si>
    <t>Insertion / mise à jour massive de données (executemany, COPY, pandas to_sql)</t>
  </si>
  <si>
    <t>Exercices : Modéliser et créer une base complète. Écrire un script Python qui se connecte, insère des lignes, exécute JOIN + GROUP BY, exporte en DataFrame Pandas.</t>
  </si>
  <si>
    <t>NoSQL</t>
  </si>
  <si>
    <t>Différences fondamentales relationnel vs document</t>
  </si>
  <si>
    <t>Modélisation document (embedded vs referenced)</t>
  </si>
  <si>
    <t>Opérations CRUD avancées</t>
  </si>
  <si>
    <t>Aggregation Pipeline</t>
  </si>
  <si>
    <t>Indexation (single field, compound, text)</t>
  </si>
  <si>
    <t>Quand choisir MongoDB plutôt que PostgreSQL</t>
  </si>
  <si>
    <t>Bases et théorie</t>
  </si>
  <si>
    <t>Définition et cycle ETL (Extract, Transform, Load)</t>
  </si>
  <si>
    <t>Différence entre Batch et Streaming (et quand utiliser l'un ou l'autre)</t>
  </si>
  <si>
    <t>Notions de Data Pipeline vs Data Workflow</t>
  </si>
  <si>
    <t>Orchestration (concept de base, sans entrer dans Airflow en détail)</t>
  </si>
  <si>
    <t>Qualité des données, idempotence, gestion des erreurs</t>
  </si>
  <si>
    <t>Cas d'usage réels en entreprise</t>
  </si>
  <si>
    <t>Exercice : Faire un schéma simple (Draw.io ou Excalidraw) d'un pipeline ETL complet. (Les 3 exemples Netflix/Uber/banque : optionnel)</t>
  </si>
  <si>
    <t>Projet : API / CSV → Python → DB</t>
  </si>
  <si>
    <t>Extract : lecture d'un fichier CSV</t>
  </si>
  <si>
    <t>Extract : appel à une API publique (ex. JSON Placeholder, OpenWeather, ou TMDB)</t>
  </si>
  <si>
    <t>Transform : nettoyage, enrichissement, agrégations avec Pandas + NumPy</t>
  </si>
  <si>
    <t>Load : insertion dans PostgreSQL (avec gestion des erreurs et logs)</t>
  </si>
  <si>
    <t>Préparation (1 jour) : Choisir un dataset, créer un dossier projet propre avec venv</t>
  </si>
  <si>
    <t>Extract (3–4h) : Lire CSV avec Pandas</t>
  </si>
  <si>
    <t>Appeler une API avec requests et gérer la pagination si besoin</t>
  </si>
  <si>
    <t>Transform (6–8h) : Nettoyage complet, enrichissement, agrégations</t>
  </si>
  <si>
    <t>Load (4–5h) : Connexion PostgreSQL, insertion massive, création des tables + contraintes</t>
  </si>
  <si>
    <t>Bonus : Ajouter des logs (logging module)</t>
  </si>
  <si>
    <t>Bonus</t>
  </si>
  <si>
    <t>Bonus : Gérer les erreurs (try/except + retry simple)</t>
  </si>
  <si>
    <r>
      <rPr>
        <rFont val="Arial"/>
        <color theme="1"/>
        <sz val="11.0"/>
      </rPr>
      <t xml:space="preserve">Bonus : Rendre le pipeline exécutable via un seul fichier main.py ou </t>
    </r>
    <r>
      <rPr>
        <rFont val="Arial"/>
        <color rgb="FF000000"/>
        <sz val="11.0"/>
      </rPr>
      <t>etl.py</t>
    </r>
  </si>
  <si>
    <t>Livrable final : Repo GitHub — requirements.txt, etl_pipeline.py, README avec schéma, capture BDD remplie</t>
  </si>
  <si>
    <t>Linux</t>
  </si>
  <si>
    <t>Commandes Linux de base en production (navigation, droits, processus, éditeur, packages)</t>
  </si>
  <si>
    <t>Serveur cloud distant — Créer une instance EC2 / VM Azure, connexion SSH</t>
  </si>
  <si>
    <t>Installation PostgreSQL en CLI</t>
  </si>
  <si>
    <t xml:space="preserve"> Sécurité de base — Firewall, SSH, utilisateur non-root</t>
  </si>
  <si>
    <t>Exercices : Linux / EC2</t>
  </si>
  <si>
    <t>Docker</t>
  </si>
  <si>
    <t>Concepts de base — Container vs VM, image, Dockerfile, docker-compose, volumes et réseaux</t>
  </si>
  <si>
    <t>Commandes essentielles — docker run, build, ps, logs, exec, compose up</t>
  </si>
  <si>
    <t>Containeriser un projet concret — pipeline ETL + PostgreSQL via docker-compose</t>
  </si>
  <si>
    <t>Livrable (bonus fort) : Dockerfile + docker-compose.yml + README avec captures</t>
  </si>
  <si>
    <t>Complexité O(n)</t>
  </si>
  <si>
    <t>Comprendre ce qu'est la notation Big O</t>
  </si>
  <si>
    <t>Les complexités les plus courantes : O(1), O(log n), O(n), O(n log n), O(n²)</t>
  </si>
  <si>
    <t>Comment calculer la complexité d'une boucle, d'une fonction, d'un algorithme</t>
  </si>
  <si>
    <t>Application concrète en Data : temps d'exécution sur 10 lignes vs 1 million</t>
  </si>
  <si>
    <t>Exercices : Analyser la complexité de 8-10 bouts de code simples, mesurer le temps réel avec le module time.</t>
  </si>
  <si>
    <t>Logique algorithmique</t>
  </si>
  <si>
    <t>Parcours linéaire, deux pointeurs, fenêtre glissante, recherche dichotomique, accumulateurs</t>
  </si>
  <si>
    <t>Power BI</t>
  </si>
  <si>
    <t xml:space="preserve"> Importation de données (CSV, PostgreSQL, API, Excel)</t>
  </si>
  <si>
    <t>Modélisation simple dans Power BI (relations entre tables)</t>
  </si>
  <si>
    <t>Création de visuels (graphiques, cartes, tableaux, jauges)</t>
  </si>
  <si>
    <t>Mesures et colonnes calculées avec DAX (basique : SUM, AVERAGE, COUNT, CALCULATE, FILTER)</t>
  </si>
  <si>
    <t>Filtres, slicers, drill-down</t>
  </si>
  <si>
    <t>Publication et partage d'un rapport</t>
  </si>
  <si>
    <t>Exercices : Connecter Power BI à PostgreSQL, créer un dashboard complet (KPI + graphiques + slicers + mesures DAX). Livrable : fichier .pbix + lien de partage.</t>
  </si>
  <si>
    <t>Supervisé / non supervisé</t>
  </si>
  <si>
    <t xml:space="preserve"> Supervisé : données étiquetées → prédiction (régression / classification)</t>
  </si>
  <si>
    <t>Non supervisé : données non étiquetées → découverte de structure</t>
  </si>
  <si>
    <t>Renforcement : apprentissage par récompense</t>
  </si>
  <si>
    <t>Types de modèles simples</t>
  </si>
  <si>
    <t>Régression linéaire / logistique</t>
  </si>
  <si>
    <t>Arbres de décision / Random Forest</t>
  </si>
  <si>
    <t>K-Means (clustering)</t>
  </si>
  <si>
    <t>PCA (réduction de dimension)</t>
  </si>
  <si>
    <t>Notion de train/test/validation + overfitting</t>
  </si>
  <si>
    <t>STACK</t>
  </si>
  <si>
    <t>PostgreSQL (4–6h)</t>
  </si>
  <si>
    <t>Modélisation : Schéma en 3NF ou star schema</t>
  </si>
  <si>
    <t>Modélisation : Tables + contraintes + index</t>
  </si>
  <si>
    <t>Modélisation : Données de test (via script SQL)</t>
  </si>
  <si>
    <t>Pipeline Python (10-12h)</t>
  </si>
  <si>
    <t>Extract : CSV + API (ex. : données météo ou ventes)</t>
  </si>
  <si>
    <t>Transform : Pandas + NumPy + nettoyage</t>
  </si>
  <si>
    <t>Load : vers PostgreSQL (avec logging et gestion d’erreurs)</t>
  </si>
  <si>
    <t>API Flask (6–8 h)</t>
  </si>
  <si>
    <t>Endpoints : GET /data, GET /stats, etc.</t>
  </si>
  <si>
    <t>Connexion à PostgreSQL</t>
  </si>
  <si>
    <t>Power BI (5–8h)</t>
  </si>
  <si>
    <t>Visualisation : Dashboard connecté à la base : vue d'ensemble + analyse détaillée + mesures DAX</t>
  </si>
  <si>
    <t>Next.js (5–8h)</t>
  </si>
  <si>
    <t>Option 2 : Petit front Next.js qui consomme l'API</t>
  </si>
  <si>
    <t>GitHub</t>
  </si>
  <si>
    <t>Livrable final : README détaillé + schéma du pipeline</t>
  </si>
  <si>
    <t>Livrable final : Code du pipeline Python</t>
  </si>
  <si>
    <t>Livrable final : Code de l’API</t>
  </si>
  <si>
    <t>Livrable final : Fichier .pbix (Power BI) ou lien du dashboard</t>
  </si>
  <si>
    <t>Livrable final : Docker-compose (optionnel mais très fort)</t>
  </si>
  <si>
    <t>Livrable final : Capture d'écran du dashboard final</t>
  </si>
  <si>
    <t>NECESSITE</t>
  </si>
  <si>
    <t>PLATEFORME</t>
  </si>
  <si>
    <t>VOLUME (H)</t>
  </si>
  <si>
    <t>LIEN</t>
  </si>
  <si>
    <t>LIEN 2</t>
  </si>
  <si>
    <t>Maths : Algèbre linéaire</t>
  </si>
  <si>
    <t>Khan Academy</t>
  </si>
  <si>
    <t>Maths : Statistiques et probabilités</t>
  </si>
  <si>
    <t>Python : Bases</t>
  </si>
  <si>
    <t>Kaggle</t>
  </si>
  <si>
    <t>https://www.kaggle.com/learn/python</t>
  </si>
  <si>
    <t>Python : NumPy</t>
  </si>
  <si>
    <t>https://www.youtube.com/watch?v=kjBOesZCoqc</t>
  </si>
  <si>
    <t>Python : Pandas</t>
  </si>
  <si>
    <t>https://www.kaggle.com/learn/pandas</t>
  </si>
  <si>
    <t>Python : Visualisation</t>
  </si>
  <si>
    <t>http://kaggle.com/learn/data-visualization</t>
  </si>
  <si>
    <t>SQL : Bases</t>
  </si>
  <si>
    <t>https://www.kaggle.com/learn/intro-to-sql</t>
  </si>
  <si>
    <t>https://pgexercises.com/</t>
  </si>
  <si>
    <t>SQL : Window functions, CTE, optimisation, index</t>
  </si>
  <si>
    <t>SECTIONS</t>
  </si>
  <si>
    <t>PLATEFORMES</t>
  </si>
  <si>
    <t>Maths</t>
  </si>
  <si>
    <t>3Blue1Brown</t>
  </si>
  <si>
    <t>AWS</t>
  </si>
  <si>
    <t>Python</t>
  </si>
  <si>
    <t>Big O Cheatsheet</t>
  </si>
  <si>
    <t>DataCamp</t>
  </si>
  <si>
    <t>Dataquest</t>
  </si>
  <si>
    <t>DBDiagram.io</t>
  </si>
  <si>
    <t>SQL</t>
  </si>
  <si>
    <t>Azure</t>
  </si>
  <si>
    <t>DigitalOcean</t>
  </si>
  <si>
    <t>Bases de données</t>
  </si>
  <si>
    <t>freeCodeCamp</t>
  </si>
  <si>
    <t>HackerRank</t>
  </si>
  <si>
    <t>Pipeline &amp; ETL</t>
  </si>
  <si>
    <t>Environnement &amp; Infrastructure</t>
  </si>
  <si>
    <t>LeetCode</t>
  </si>
  <si>
    <t>Lucidchart</t>
  </si>
  <si>
    <t>Computer Science</t>
  </si>
  <si>
    <t>Microsoft Learn</t>
  </si>
  <si>
    <t>MongoDB University</t>
  </si>
  <si>
    <t>Visualisation &amp; BI</t>
  </si>
  <si>
    <t>PGExercises</t>
  </si>
  <si>
    <t>Concept IA</t>
  </si>
  <si>
    <t>PostgreSQL Tutorial</t>
  </si>
  <si>
    <t>Projet fil rouge</t>
  </si>
  <si>
    <t>Real Python</t>
  </si>
  <si>
    <t>OpenClassrooms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</si>
</sst>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u/>
      <sz val="11.0"/>
      <color rgb="FF0000FF"/>
      <name val="Roboto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border>
        <left style="thin">
          <color rgb="FF434343"/>
        </left>
        <right style="thin">
          <color rgb="FF434343"/>
        </right>
        <top style="thin">
          <color rgb="FF434343"/>
        </top>
        <bottom style="thin">
          <color rgb="FF434343"/>
        </bottom>
      </border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EEEE"/>
          <bgColor rgb="FFFFEEEE"/>
        </patternFill>
      </fill>
      <border/>
    </dxf>
    <dxf>
      <font/>
      <fill>
        <patternFill patternType="solid">
          <fgColor rgb="FFD25A5A"/>
          <bgColor rgb="FFD25A5A"/>
        </patternFill>
      </fill>
      <border/>
    </dxf>
    <dxf>
      <font>
        <i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1">
    <tableStyle count="5" pivot="0" name="SUIVI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5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6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7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8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9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UIVI-style 10">
      <tableStyleElement dxfId="6" type="headerRow"/>
      <tableStyleElement dxfId="2" type="firstRowStripe"/>
      <tableStyleElement dxfId="7" type="secondRowStripe"/>
      <tableStyleElement dxfId="8" type="totalRow"/>
      <tableStyleElement dxfId="5" size="0" type="wholeTable"/>
    </tableStyle>
    <tableStyle count="4" pivot="0" name="REFERENCES-style">
      <tableStyleElement dxfId="10" type="headerRow"/>
      <tableStyleElement dxfId="2" type="firstRowStripe"/>
      <tableStyleElement dxfId="11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D10" displayName="MATHS" name="MATHS" id="1">
  <tableColumns count="4">
    <tableColumn name="✅" id="1"/>
    <tableColumn name="COURS" id="2"/>
    <tableColumn totalsRowFunction="custom" name="CHAPITRE" id="3"/>
    <tableColumn name="IMPORTANCE" id="4"/>
  </tableColumns>
  <tableStyleInfo name="SUIVI-style" showColumnStripes="0" showFirstColumn="1" showLastColumn="1" showRowStripes="1"/>
</table>
</file>

<file path=xl/tables/table2.xml><?xml version="1.0" encoding="utf-8"?>
<table xmlns="http://schemas.openxmlformats.org/spreadsheetml/2006/main" totalsRowCount="1" ref="A11:D37" displayName="PYTHON" name="PYTHON" id="2">
  <tableColumns count="4">
    <tableColumn name="✅" id="1"/>
    <tableColumn name="COURS" id="2"/>
    <tableColumn totalsRowFunction="custom" name="CHAPITRE" id="3"/>
    <tableColumn name="IMPORTANCE" id="4"/>
  </tableColumns>
  <tableStyleInfo name="SUIVI-style 2" showColumnStripes="0" showFirstColumn="1" showLastColumn="1" showRowStripes="1"/>
</table>
</file>

<file path=xl/tables/table3.xml><?xml version="1.0" encoding="utf-8"?>
<table xmlns="http://schemas.openxmlformats.org/spreadsheetml/2006/main" totalsRowCount="1" ref="A38:D50" displayName="SQL" name="SQL" id="3">
  <tableColumns count="4">
    <tableColumn name="✅" id="1"/>
    <tableColumn name="COURS" id="2"/>
    <tableColumn totalsRowFunction="custom" name="CHAPITRE" id="3"/>
    <tableColumn name="IMPORTANCE" id="4"/>
  </tableColumns>
  <tableStyleInfo name="SUIVI-style 3" showColumnStripes="0" showFirstColumn="1" showLastColumn="1" showRowStripes="1"/>
</table>
</file>

<file path=xl/tables/table4.xml><?xml version="1.0" encoding="utf-8"?>
<table xmlns="http://schemas.openxmlformats.org/spreadsheetml/2006/main" totalsRowCount="1" ref="A51:D66" displayName="BASES_DE_DONNEES" name="BASES_DE_DONNEES" id="4">
  <tableColumns count="4">
    <tableColumn name="✅" id="1"/>
    <tableColumn name="COURS" id="2"/>
    <tableColumn totalsRowFunction="custom" name="CHAPITRE" id="3"/>
    <tableColumn name="IMPORTANCE" id="4"/>
  </tableColumns>
  <tableStyleInfo name="SUIVI-style 4" showColumnStripes="0" showFirstColumn="1" showLastColumn="1" showRowStripes="1"/>
</table>
</file>

<file path=xl/tables/table5.xml><?xml version="1.0" encoding="utf-8"?>
<table xmlns="http://schemas.openxmlformats.org/spreadsheetml/2006/main" totalsRowCount="1" ref="A67:D88" displayName="PIPELINE_ET_ETL" name="PIPELINE_ET_ETL" id="5">
  <tableColumns count="4">
    <tableColumn name="✅" id="1"/>
    <tableColumn name="COURS" id="2"/>
    <tableColumn totalsRowFunction="custom" name="CHAPITRE" id="3"/>
    <tableColumn name="IMPORTANCE" id="4"/>
  </tableColumns>
  <tableStyleInfo name="SUIVI-style 5" showColumnStripes="0" showFirstColumn="1" showLastColumn="1" showRowStripes="1"/>
</table>
</file>

<file path=xl/tables/table6.xml><?xml version="1.0" encoding="utf-8"?>
<table xmlns="http://schemas.openxmlformats.org/spreadsheetml/2006/main" totalsRowCount="1" ref="A89:D99" displayName="ENV._ET_INFRASTRUCTURE" name="ENV._ET_INFRASTRUCTURE" id="6">
  <tableColumns count="4">
    <tableColumn name="✅" id="1"/>
    <tableColumn name="COURS" id="2"/>
    <tableColumn totalsRowFunction="custom" name="CHAPITRE" id="3"/>
    <tableColumn name="IMPORTANCE" id="4"/>
  </tableColumns>
  <tableStyleInfo name="SUIVI-style 6" showColumnStripes="0" showFirstColumn="1" showLastColumn="1" showRowStripes="1"/>
</table>
</file>

<file path=xl/tables/table7.xml><?xml version="1.0" encoding="utf-8"?>
<table xmlns="http://schemas.openxmlformats.org/spreadsheetml/2006/main" totalsRowCount="1" ref="A100:D107" displayName="COMPUTER_SCIENCE" name="COMPUTER_SCIENCE" id="7">
  <tableColumns count="4">
    <tableColumn name="✅" id="1"/>
    <tableColumn name="COURS" id="2"/>
    <tableColumn totalsRowFunction="custom" name="CHAPITRE" id="3"/>
    <tableColumn name="IMPORTANCE" id="4"/>
  </tableColumns>
  <tableStyleInfo name="SUIVI-style 7" showColumnStripes="0" showFirstColumn="1" showLastColumn="1" showRowStripes="1"/>
</table>
</file>

<file path=xl/tables/table8.xml><?xml version="1.0" encoding="utf-8"?>
<table xmlns="http://schemas.openxmlformats.org/spreadsheetml/2006/main" totalsRowCount="1" ref="A108:D116" displayName="VISUALISATION_ET_BI" name="VISUALISATION_ET_BI" id="8">
  <tableColumns count="4">
    <tableColumn name="✅" id="1"/>
    <tableColumn name="COURS" id="2"/>
    <tableColumn totalsRowFunction="custom" name="CHAPITRE" id="3"/>
    <tableColumn name="IMPORTANCE" id="4"/>
  </tableColumns>
  <tableStyleInfo name="SUIVI-style 8" showColumnStripes="0" showFirstColumn="1" showLastColumn="1" showRowStripes="1"/>
</table>
</file>

<file path=xl/tables/table9.xml><?xml version="1.0" encoding="utf-8"?>
<table xmlns="http://schemas.openxmlformats.org/spreadsheetml/2006/main" totalsRowCount="1" ref="A117:D126" displayName="CONCEPTS_IA" name="CONCEPTS_IA" id="9">
  <tableColumns count="4">
    <tableColumn name="✅" id="1"/>
    <tableColumn name="COURS" id="2"/>
    <tableColumn totalsRowFunction="custom" name="CHAPITRE" id="3"/>
    <tableColumn name="IMPORTANCE" id="4"/>
  </tableColumns>
  <tableStyleInfo name="SUIVI-style 9" showColumnStripes="0" showFirstColumn="1" showLastColumn="1" showRowStripes="1"/>
</table>
</file>

<file path=xl/tables/table10.xml><?xml version="1.0" encoding="utf-8"?>
<table xmlns="http://schemas.openxmlformats.org/spreadsheetml/2006/main" totalsRowCount="1" ref="A127:D144" displayName="PROJET_FIL_ROUGE" name="PROJET_FIL_ROUGE" id="10">
  <tableColumns count="4">
    <tableColumn name="✅" id="1"/>
    <tableColumn name="STACK" id="2"/>
    <tableColumn totalsRowFunction="custom" name="CHAPITRE" id="3"/>
    <tableColumn name="IMPORTANCE" id="4"/>
  </tableColumns>
  <tableStyleInfo name="SUIVI-style 10" showColumnStripes="0" showFirstColumn="1" showLastColumn="1" showRowStripes="1"/>
</table>
</file>

<file path=xl/tables/table11.xml><?xml version="1.0" encoding="utf-8"?>
<table xmlns="http://schemas.openxmlformats.org/spreadsheetml/2006/main" ref="A1:F15" displayName="Tableau1" name="Tableau1" id="11">
  <tableColumns count="6">
    <tableColumn name="COURS" id="1"/>
    <tableColumn name="NECESSITE" id="2"/>
    <tableColumn name="PLATEFORME" id="3"/>
    <tableColumn name="VOLUME (H)" id="4"/>
    <tableColumn name="LIEN" id="5"/>
    <tableColumn name="LIEN 2" id="6"/>
  </tableColumns>
  <tableStyleInfo name="REFER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learn/python" TargetMode="External"/><Relationship Id="rId2" Type="http://schemas.openxmlformats.org/officeDocument/2006/relationships/hyperlink" Target="https://www.youtube.com/watch?v=kjBOesZCoqc" TargetMode="External"/><Relationship Id="rId3" Type="http://schemas.openxmlformats.org/officeDocument/2006/relationships/hyperlink" Target="https://www.kaggle.com/learn/pandas" TargetMode="External"/><Relationship Id="rId4" Type="http://schemas.openxmlformats.org/officeDocument/2006/relationships/hyperlink" Target="http://kaggle.com/learn/data-visualization" TargetMode="External"/><Relationship Id="rId9" Type="http://schemas.openxmlformats.org/officeDocument/2006/relationships/table" Target="../tables/table11.xml"/><Relationship Id="rId5" Type="http://schemas.openxmlformats.org/officeDocument/2006/relationships/hyperlink" Target="https://www.kaggle.com/learn/intro-to-sql" TargetMode="External"/><Relationship Id="rId6" Type="http://schemas.openxmlformats.org/officeDocument/2006/relationships/hyperlink" Target="https://pgexercises.com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37.25"/>
    <col customWidth="1" min="3" max="3" width="124.88"/>
    <col customWidth="1" min="4" max="4" width="2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b">
        <v>0</v>
      </c>
      <c r="B2" s="3" t="s">
        <v>4</v>
      </c>
      <c r="C2" s="4" t="s">
        <v>5</v>
      </c>
      <c r="D2" s="5" t="s">
        <v>6</v>
      </c>
    </row>
    <row r="3" ht="22.5" customHeight="1">
      <c r="A3" s="2" t="b">
        <v>0</v>
      </c>
      <c r="B3" s="3" t="s">
        <v>4</v>
      </c>
      <c r="C3" s="4" t="s">
        <v>7</v>
      </c>
      <c r="D3" s="5" t="s">
        <v>6</v>
      </c>
    </row>
    <row r="4" ht="22.5" customHeight="1">
      <c r="A4" s="2" t="b">
        <v>0</v>
      </c>
      <c r="B4" s="3" t="s">
        <v>4</v>
      </c>
      <c r="C4" s="4" t="s">
        <v>8</v>
      </c>
      <c r="D4" s="5" t="s">
        <v>6</v>
      </c>
    </row>
    <row r="5" ht="22.5" customHeight="1">
      <c r="A5" s="2" t="b">
        <v>0</v>
      </c>
      <c r="B5" s="3" t="s">
        <v>9</v>
      </c>
      <c r="C5" s="4" t="s">
        <v>10</v>
      </c>
      <c r="D5" s="5" t="s">
        <v>11</v>
      </c>
    </row>
    <row r="6" ht="22.5" customHeight="1">
      <c r="A6" s="2" t="b">
        <v>0</v>
      </c>
      <c r="B6" s="3" t="s">
        <v>9</v>
      </c>
      <c r="C6" s="4" t="s">
        <v>12</v>
      </c>
      <c r="D6" s="5" t="s">
        <v>11</v>
      </c>
    </row>
    <row r="7" ht="22.5" customHeight="1">
      <c r="A7" s="2" t="b">
        <v>0</v>
      </c>
      <c r="B7" s="3" t="s">
        <v>9</v>
      </c>
      <c r="C7" s="4" t="s">
        <v>13</v>
      </c>
      <c r="D7" s="5" t="s">
        <v>11</v>
      </c>
    </row>
    <row r="8" ht="22.5" customHeight="1">
      <c r="A8" s="2" t="b">
        <v>0</v>
      </c>
      <c r="B8" s="3" t="s">
        <v>9</v>
      </c>
      <c r="C8" s="4" t="s">
        <v>14</v>
      </c>
      <c r="D8" s="5" t="s">
        <v>11</v>
      </c>
    </row>
    <row r="9" ht="22.5" customHeight="1">
      <c r="A9" s="2" t="b">
        <v>0</v>
      </c>
      <c r="B9" s="3" t="s">
        <v>9</v>
      </c>
      <c r="C9" s="4" t="s">
        <v>15</v>
      </c>
      <c r="D9" s="5" t="s">
        <v>16</v>
      </c>
    </row>
    <row r="10" ht="22.5" customHeight="1">
      <c r="A10" s="4"/>
      <c r="B10" s="6"/>
      <c r="C10" s="7">
        <f>COUNTIF(MATHS[✅],TRUE)/ROWS(MATHS[✅])</f>
        <v>0</v>
      </c>
      <c r="D10" s="8"/>
    </row>
    <row r="11" ht="22.5" customHeight="1">
      <c r="A11" s="1" t="s">
        <v>0</v>
      </c>
      <c r="B11" s="1" t="s">
        <v>1</v>
      </c>
      <c r="C11" s="1" t="s">
        <v>2</v>
      </c>
      <c r="D11" s="1" t="s">
        <v>3</v>
      </c>
    </row>
    <row r="12" ht="22.5" customHeight="1">
      <c r="A12" s="2" t="b">
        <v>1</v>
      </c>
      <c r="B12" s="3" t="s">
        <v>17</v>
      </c>
      <c r="C12" s="4" t="s">
        <v>18</v>
      </c>
      <c r="D12" s="5" t="s">
        <v>11</v>
      </c>
    </row>
    <row r="13" ht="22.5" customHeight="1">
      <c r="A13" s="2" t="b">
        <v>1</v>
      </c>
      <c r="B13" s="3" t="s">
        <v>17</v>
      </c>
      <c r="C13" s="4" t="s">
        <v>19</v>
      </c>
      <c r="D13" s="5" t="s">
        <v>11</v>
      </c>
    </row>
    <row r="14" ht="22.5" customHeight="1">
      <c r="A14" s="2" t="b">
        <v>0</v>
      </c>
      <c r="B14" s="3" t="s">
        <v>17</v>
      </c>
      <c r="C14" s="4" t="s">
        <v>20</v>
      </c>
      <c r="D14" s="5" t="s">
        <v>11</v>
      </c>
    </row>
    <row r="15" ht="22.5" customHeight="1">
      <c r="A15" s="2"/>
      <c r="B15" s="3" t="s">
        <v>17</v>
      </c>
      <c r="C15" s="4" t="s">
        <v>21</v>
      </c>
      <c r="D15" s="5" t="s">
        <v>11</v>
      </c>
    </row>
    <row r="16" ht="22.5" customHeight="1">
      <c r="A16" s="2" t="b">
        <v>1</v>
      </c>
      <c r="B16" s="3" t="s">
        <v>17</v>
      </c>
      <c r="C16" s="4" t="s">
        <v>22</v>
      </c>
      <c r="D16" s="5" t="s">
        <v>11</v>
      </c>
    </row>
    <row r="17" ht="22.5" customHeight="1">
      <c r="A17" s="2" t="b">
        <v>1</v>
      </c>
      <c r="B17" s="3" t="s">
        <v>17</v>
      </c>
      <c r="C17" s="4" t="s">
        <v>23</v>
      </c>
      <c r="D17" s="5" t="s">
        <v>11</v>
      </c>
    </row>
    <row r="18" ht="22.5" customHeight="1">
      <c r="A18" s="2" t="b">
        <v>1</v>
      </c>
      <c r="B18" s="3" t="s">
        <v>24</v>
      </c>
      <c r="C18" s="4" t="s">
        <v>25</v>
      </c>
      <c r="D18" s="5" t="s">
        <v>16</v>
      </c>
    </row>
    <row r="19" ht="22.5" customHeight="1">
      <c r="A19" s="2" t="b">
        <v>0</v>
      </c>
      <c r="B19" s="3" t="s">
        <v>24</v>
      </c>
      <c r="C19" s="4" t="s">
        <v>26</v>
      </c>
      <c r="D19" s="5" t="s">
        <v>16</v>
      </c>
    </row>
    <row r="20" ht="22.5" customHeight="1">
      <c r="A20" s="2" t="b">
        <v>0</v>
      </c>
      <c r="B20" s="3" t="s">
        <v>24</v>
      </c>
      <c r="C20" s="4" t="s">
        <v>27</v>
      </c>
      <c r="D20" s="5" t="s">
        <v>16</v>
      </c>
    </row>
    <row r="21" ht="22.5" customHeight="1">
      <c r="A21" s="2" t="b">
        <v>0</v>
      </c>
      <c r="B21" s="3" t="s">
        <v>24</v>
      </c>
      <c r="C21" s="4" t="s">
        <v>28</v>
      </c>
      <c r="D21" s="5" t="s">
        <v>16</v>
      </c>
    </row>
    <row r="22" ht="22.5" customHeight="1">
      <c r="A22" s="2" t="b">
        <v>0</v>
      </c>
      <c r="B22" s="3" t="s">
        <v>24</v>
      </c>
      <c r="C22" s="4" t="s">
        <v>29</v>
      </c>
      <c r="D22" s="5" t="s">
        <v>6</v>
      </c>
    </row>
    <row r="23" ht="22.5" customHeight="1">
      <c r="A23" s="2" t="b">
        <v>0</v>
      </c>
      <c r="B23" s="3" t="s">
        <v>24</v>
      </c>
      <c r="C23" s="4" t="s">
        <v>30</v>
      </c>
      <c r="D23" s="5" t="s">
        <v>16</v>
      </c>
    </row>
    <row r="24" ht="22.5" customHeight="1">
      <c r="A24" s="2" t="b">
        <v>0</v>
      </c>
      <c r="B24" s="3" t="s">
        <v>31</v>
      </c>
      <c r="C24" s="4" t="s">
        <v>32</v>
      </c>
      <c r="D24" s="5" t="s">
        <v>11</v>
      </c>
    </row>
    <row r="25" ht="22.5" customHeight="1">
      <c r="A25" s="2" t="b">
        <v>0</v>
      </c>
      <c r="B25" s="3" t="s">
        <v>31</v>
      </c>
      <c r="C25" s="4" t="s">
        <v>33</v>
      </c>
      <c r="D25" s="5" t="s">
        <v>11</v>
      </c>
    </row>
    <row r="26" ht="22.5" customHeight="1">
      <c r="A26" s="2" t="b">
        <v>0</v>
      </c>
      <c r="B26" s="3" t="s">
        <v>31</v>
      </c>
      <c r="C26" s="4" t="s">
        <v>34</v>
      </c>
      <c r="D26" s="5" t="s">
        <v>11</v>
      </c>
    </row>
    <row r="27" ht="22.5" customHeight="1">
      <c r="A27" s="2" t="b">
        <v>0</v>
      </c>
      <c r="B27" s="3" t="s">
        <v>31</v>
      </c>
      <c r="C27" s="4" t="s">
        <v>35</v>
      </c>
      <c r="D27" s="5" t="s">
        <v>11</v>
      </c>
    </row>
    <row r="28" ht="22.5" customHeight="1">
      <c r="A28" s="2" t="b">
        <v>0</v>
      </c>
      <c r="B28" s="3" t="s">
        <v>31</v>
      </c>
      <c r="C28" s="4" t="s">
        <v>36</v>
      </c>
      <c r="D28" s="5" t="s">
        <v>11</v>
      </c>
    </row>
    <row r="29" ht="22.5" customHeight="1">
      <c r="A29" s="2" t="b">
        <v>0</v>
      </c>
      <c r="B29" s="3" t="s">
        <v>31</v>
      </c>
      <c r="C29" s="4" t="s">
        <v>37</v>
      </c>
      <c r="D29" s="5" t="s">
        <v>11</v>
      </c>
    </row>
    <row r="30" ht="22.5" customHeight="1">
      <c r="A30" s="2" t="b">
        <v>0</v>
      </c>
      <c r="B30" s="3" t="s">
        <v>31</v>
      </c>
      <c r="C30" s="4" t="s">
        <v>38</v>
      </c>
      <c r="D30" s="5" t="s">
        <v>16</v>
      </c>
    </row>
    <row r="31" ht="22.5" customHeight="1">
      <c r="A31" s="2" t="b">
        <v>0</v>
      </c>
      <c r="B31" s="3" t="s">
        <v>31</v>
      </c>
      <c r="C31" s="4" t="s">
        <v>39</v>
      </c>
      <c r="D31" s="5" t="s">
        <v>16</v>
      </c>
    </row>
    <row r="32" ht="22.5" customHeight="1">
      <c r="A32" s="2" t="b">
        <v>0</v>
      </c>
      <c r="B32" s="3" t="s">
        <v>31</v>
      </c>
      <c r="C32" s="4" t="s">
        <v>40</v>
      </c>
      <c r="D32" s="5" t="s">
        <v>11</v>
      </c>
    </row>
    <row r="33" ht="22.5" customHeight="1">
      <c r="A33" s="2" t="b">
        <v>0</v>
      </c>
      <c r="B33" s="3" t="s">
        <v>41</v>
      </c>
      <c r="C33" s="4" t="s">
        <v>42</v>
      </c>
      <c r="D33" s="5" t="s">
        <v>11</v>
      </c>
    </row>
    <row r="34" ht="22.5" customHeight="1">
      <c r="A34" s="2" t="b">
        <v>0</v>
      </c>
      <c r="B34" s="3" t="s">
        <v>41</v>
      </c>
      <c r="C34" s="4" t="s">
        <v>43</v>
      </c>
      <c r="D34" s="5" t="s">
        <v>11</v>
      </c>
    </row>
    <row r="35" ht="22.5" customHeight="1">
      <c r="A35" s="2" t="b">
        <v>0</v>
      </c>
      <c r="B35" s="3" t="s">
        <v>41</v>
      </c>
      <c r="C35" s="4" t="s">
        <v>44</v>
      </c>
      <c r="D35" s="5" t="s">
        <v>6</v>
      </c>
    </row>
    <row r="36" ht="22.5" customHeight="1">
      <c r="A36" s="2" t="b">
        <v>0</v>
      </c>
      <c r="B36" s="3" t="s">
        <v>41</v>
      </c>
      <c r="C36" s="4" t="s">
        <v>45</v>
      </c>
      <c r="D36" s="5" t="s">
        <v>11</v>
      </c>
    </row>
    <row r="37" ht="22.5" customHeight="1">
      <c r="A37" s="4"/>
      <c r="B37" s="6"/>
      <c r="C37" s="7">
        <f>COUNTIF(PYTHON[✅],TRUE)/ROWS(PYTHON[✅])</f>
        <v>0.2</v>
      </c>
      <c r="D37" s="9"/>
    </row>
    <row r="38" ht="22.5" customHeight="1">
      <c r="A38" s="1" t="s">
        <v>0</v>
      </c>
      <c r="B38" s="1" t="s">
        <v>1</v>
      </c>
      <c r="C38" s="1" t="s">
        <v>2</v>
      </c>
      <c r="D38" s="1" t="s">
        <v>3</v>
      </c>
    </row>
    <row r="39" ht="22.5" customHeight="1">
      <c r="A39" s="10"/>
      <c r="B39" s="3" t="s">
        <v>17</v>
      </c>
      <c r="C39" s="4" t="s">
        <v>46</v>
      </c>
      <c r="D39" s="5" t="s">
        <v>11</v>
      </c>
    </row>
    <row r="40" ht="22.5" customHeight="1">
      <c r="A40" s="2" t="b">
        <v>0</v>
      </c>
      <c r="B40" s="3" t="s">
        <v>17</v>
      </c>
      <c r="C40" s="4" t="s">
        <v>47</v>
      </c>
      <c r="D40" s="5" t="s">
        <v>11</v>
      </c>
    </row>
    <row r="41" ht="22.5" customHeight="1">
      <c r="A41" s="2" t="b">
        <v>0</v>
      </c>
      <c r="B41" s="3" t="s">
        <v>17</v>
      </c>
      <c r="C41" s="4" t="s">
        <v>48</v>
      </c>
      <c r="D41" s="5" t="s">
        <v>11</v>
      </c>
    </row>
    <row r="42" ht="22.5" customHeight="1">
      <c r="A42" s="10"/>
      <c r="B42" s="3" t="s">
        <v>17</v>
      </c>
      <c r="C42" s="4" t="s">
        <v>49</v>
      </c>
      <c r="D42" s="5" t="s">
        <v>11</v>
      </c>
    </row>
    <row r="43" ht="22.5" customHeight="1">
      <c r="A43" s="10"/>
      <c r="B43" s="3" t="s">
        <v>17</v>
      </c>
      <c r="C43" s="4" t="s">
        <v>50</v>
      </c>
      <c r="D43" s="5" t="s">
        <v>16</v>
      </c>
    </row>
    <row r="44" ht="22.5" customHeight="1">
      <c r="A44" s="10"/>
      <c r="B44" s="3" t="s">
        <v>17</v>
      </c>
      <c r="C44" s="4" t="s">
        <v>51</v>
      </c>
      <c r="D44" s="5" t="s">
        <v>11</v>
      </c>
    </row>
    <row r="45" ht="22.5" customHeight="1">
      <c r="A45" s="10" t="b">
        <v>0</v>
      </c>
      <c r="B45" s="3" t="s">
        <v>52</v>
      </c>
      <c r="C45" s="4" t="s">
        <v>53</v>
      </c>
      <c r="D45" s="5" t="s">
        <v>16</v>
      </c>
    </row>
    <row r="46" ht="22.5" customHeight="1">
      <c r="A46" s="10" t="b">
        <v>0</v>
      </c>
      <c r="B46" s="3" t="s">
        <v>52</v>
      </c>
      <c r="C46" s="4" t="s">
        <v>54</v>
      </c>
      <c r="D46" s="5" t="s">
        <v>16</v>
      </c>
    </row>
    <row r="47" ht="22.5" customHeight="1">
      <c r="A47" s="10" t="b">
        <v>0</v>
      </c>
      <c r="B47" s="3" t="s">
        <v>52</v>
      </c>
      <c r="C47" s="4" t="s">
        <v>55</v>
      </c>
      <c r="D47" s="5" t="s">
        <v>6</v>
      </c>
    </row>
    <row r="48" ht="22.5" customHeight="1">
      <c r="A48" s="10" t="b">
        <v>0</v>
      </c>
      <c r="B48" s="3" t="s">
        <v>52</v>
      </c>
      <c r="C48" s="4" t="s">
        <v>56</v>
      </c>
      <c r="D48" s="5" t="s">
        <v>6</v>
      </c>
    </row>
    <row r="49" ht="22.5" customHeight="1">
      <c r="A49" s="10" t="b">
        <v>0</v>
      </c>
      <c r="B49" s="3" t="s">
        <v>52</v>
      </c>
      <c r="C49" s="4" t="s">
        <v>57</v>
      </c>
      <c r="D49" s="5" t="s">
        <v>16</v>
      </c>
    </row>
    <row r="50" ht="22.5" customHeight="1">
      <c r="A50" s="4"/>
      <c r="B50" s="6"/>
      <c r="C50" s="7">
        <f>COUNTIF(SQL[✅],TRUE)/ROWS(SQL[✅])</f>
        <v>0</v>
      </c>
      <c r="D50" s="9"/>
    </row>
    <row r="51" ht="22.5" customHeight="1">
      <c r="A51" s="1" t="s">
        <v>0</v>
      </c>
      <c r="B51" s="1" t="s">
        <v>1</v>
      </c>
      <c r="C51" s="1" t="s">
        <v>2</v>
      </c>
      <c r="D51" s="1" t="s">
        <v>3</v>
      </c>
    </row>
    <row r="52" ht="22.5" customHeight="1">
      <c r="A52" s="10"/>
      <c r="B52" s="3" t="s">
        <v>58</v>
      </c>
      <c r="C52" s="4" t="s">
        <v>59</v>
      </c>
      <c r="D52" s="5" t="s">
        <v>11</v>
      </c>
    </row>
    <row r="53" ht="22.5" customHeight="1">
      <c r="A53" s="2" t="b">
        <v>0</v>
      </c>
      <c r="B53" s="3" t="s">
        <v>58</v>
      </c>
      <c r="C53" s="4" t="s">
        <v>60</v>
      </c>
      <c r="D53" s="5" t="s">
        <v>16</v>
      </c>
    </row>
    <row r="54" ht="22.5" customHeight="1">
      <c r="A54" s="2" t="b">
        <v>0</v>
      </c>
      <c r="B54" s="3" t="s">
        <v>58</v>
      </c>
      <c r="C54" s="4" t="s">
        <v>61</v>
      </c>
      <c r="D54" s="5" t="s">
        <v>11</v>
      </c>
    </row>
    <row r="55" ht="22.5" customHeight="1">
      <c r="A55" s="10"/>
      <c r="B55" s="3" t="s">
        <v>58</v>
      </c>
      <c r="C55" s="4" t="s">
        <v>62</v>
      </c>
      <c r="D55" s="5" t="s">
        <v>6</v>
      </c>
    </row>
    <row r="56" ht="22.5" customHeight="1">
      <c r="A56" s="10"/>
      <c r="B56" s="3" t="s">
        <v>58</v>
      </c>
      <c r="C56" s="4" t="s">
        <v>63</v>
      </c>
      <c r="D56" s="5" t="s">
        <v>6</v>
      </c>
    </row>
    <row r="57" ht="22.5" customHeight="1">
      <c r="A57" s="10"/>
      <c r="B57" s="3" t="s">
        <v>58</v>
      </c>
      <c r="C57" s="4" t="s">
        <v>64</v>
      </c>
      <c r="D57" s="5" t="s">
        <v>11</v>
      </c>
    </row>
    <row r="58" ht="22.5" customHeight="1">
      <c r="A58" s="10" t="b">
        <v>0</v>
      </c>
      <c r="B58" s="3" t="s">
        <v>58</v>
      </c>
      <c r="C58" s="4" t="s">
        <v>65</v>
      </c>
      <c r="D58" s="5" t="s">
        <v>16</v>
      </c>
    </row>
    <row r="59" ht="22.5" customHeight="1">
      <c r="A59" s="10" t="b">
        <v>0</v>
      </c>
      <c r="B59" s="3" t="s">
        <v>58</v>
      </c>
      <c r="C59" s="4" t="s">
        <v>66</v>
      </c>
      <c r="D59" s="5" t="s">
        <v>11</v>
      </c>
    </row>
    <row r="60" ht="22.5" customHeight="1">
      <c r="A60" s="10" t="b">
        <v>0</v>
      </c>
      <c r="B60" s="3" t="s">
        <v>67</v>
      </c>
      <c r="C60" s="4" t="s">
        <v>68</v>
      </c>
      <c r="D60" s="5" t="s">
        <v>6</v>
      </c>
    </row>
    <row r="61" ht="22.5" customHeight="1">
      <c r="A61" s="10" t="b">
        <v>0</v>
      </c>
      <c r="B61" s="3" t="s">
        <v>67</v>
      </c>
      <c r="C61" s="4" t="s">
        <v>69</v>
      </c>
      <c r="D61" s="5" t="s">
        <v>6</v>
      </c>
    </row>
    <row r="62" ht="22.5" customHeight="1">
      <c r="A62" s="10" t="b">
        <v>0</v>
      </c>
      <c r="B62" s="3" t="s">
        <v>67</v>
      </c>
      <c r="C62" s="4" t="s">
        <v>70</v>
      </c>
      <c r="D62" s="5" t="s">
        <v>6</v>
      </c>
    </row>
    <row r="63" ht="22.5" customHeight="1">
      <c r="A63" s="10" t="b">
        <v>0</v>
      </c>
      <c r="B63" s="3" t="s">
        <v>67</v>
      </c>
      <c r="C63" s="4" t="s">
        <v>71</v>
      </c>
      <c r="D63" s="5" t="s">
        <v>6</v>
      </c>
    </row>
    <row r="64" ht="22.5" customHeight="1">
      <c r="A64" s="10" t="b">
        <v>0</v>
      </c>
      <c r="B64" s="3" t="s">
        <v>67</v>
      </c>
      <c r="C64" s="4" t="s">
        <v>72</v>
      </c>
      <c r="D64" s="5" t="s">
        <v>6</v>
      </c>
    </row>
    <row r="65" ht="22.5" customHeight="1">
      <c r="A65" s="10" t="b">
        <v>0</v>
      </c>
      <c r="B65" s="3" t="s">
        <v>67</v>
      </c>
      <c r="C65" s="4" t="s">
        <v>73</v>
      </c>
      <c r="D65" s="5" t="s">
        <v>6</v>
      </c>
    </row>
    <row r="66" ht="22.5" customHeight="1">
      <c r="A66" s="4"/>
      <c r="B66" s="6"/>
      <c r="C66" s="7">
        <f>COUNTIF(BASES_DE_DONNEES[✅],TRUE)/ROWS(BASES_DE_DONNEES[✅])</f>
        <v>0</v>
      </c>
      <c r="D66" s="9"/>
    </row>
    <row r="67" ht="22.5" customHeight="1">
      <c r="A67" s="1" t="s">
        <v>0</v>
      </c>
      <c r="B67" s="1" t="s">
        <v>1</v>
      </c>
      <c r="C67" s="1" t="s">
        <v>2</v>
      </c>
      <c r="D67" s="1" t="s">
        <v>3</v>
      </c>
    </row>
    <row r="68" ht="22.5" customHeight="1">
      <c r="A68" s="10"/>
      <c r="B68" s="3" t="s">
        <v>74</v>
      </c>
      <c r="C68" s="4" t="s">
        <v>75</v>
      </c>
      <c r="D68" s="5" t="s">
        <v>11</v>
      </c>
    </row>
    <row r="69" ht="22.5" customHeight="1">
      <c r="A69" s="2" t="b">
        <v>0</v>
      </c>
      <c r="B69" s="3" t="s">
        <v>74</v>
      </c>
      <c r="C69" s="4" t="s">
        <v>76</v>
      </c>
      <c r="D69" s="5" t="s">
        <v>16</v>
      </c>
    </row>
    <row r="70" ht="22.5" customHeight="1">
      <c r="A70" s="2" t="b">
        <v>0</v>
      </c>
      <c r="B70" s="3" t="s">
        <v>74</v>
      </c>
      <c r="C70" s="4" t="s">
        <v>77</v>
      </c>
      <c r="D70" s="5" t="s">
        <v>16</v>
      </c>
    </row>
    <row r="71" ht="22.5" customHeight="1">
      <c r="A71" s="10"/>
      <c r="B71" s="3" t="s">
        <v>74</v>
      </c>
      <c r="C71" s="4" t="s">
        <v>78</v>
      </c>
      <c r="D71" s="5" t="s">
        <v>6</v>
      </c>
    </row>
    <row r="72" ht="22.5" customHeight="1">
      <c r="A72" s="10"/>
      <c r="B72" s="3" t="s">
        <v>74</v>
      </c>
      <c r="C72" s="4" t="s">
        <v>79</v>
      </c>
      <c r="D72" s="5" t="s">
        <v>16</v>
      </c>
    </row>
    <row r="73" ht="22.5" customHeight="1">
      <c r="A73" s="10"/>
      <c r="B73" s="3" t="s">
        <v>74</v>
      </c>
      <c r="C73" s="4" t="s">
        <v>80</v>
      </c>
      <c r="D73" s="5" t="s">
        <v>16</v>
      </c>
    </row>
    <row r="74" ht="22.5" customHeight="1">
      <c r="A74" s="10" t="b">
        <v>0</v>
      </c>
      <c r="B74" s="3" t="s">
        <v>74</v>
      </c>
      <c r="C74" s="4" t="s">
        <v>81</v>
      </c>
      <c r="D74" s="5" t="s">
        <v>16</v>
      </c>
    </row>
    <row r="75" ht="22.5" customHeight="1">
      <c r="A75" s="10" t="b">
        <v>0</v>
      </c>
      <c r="B75" s="3" t="s">
        <v>82</v>
      </c>
      <c r="C75" s="4" t="s">
        <v>83</v>
      </c>
      <c r="D75" s="5" t="s">
        <v>11</v>
      </c>
    </row>
    <row r="76" ht="22.5" customHeight="1">
      <c r="A76" s="10" t="b">
        <v>0</v>
      </c>
      <c r="B76" s="3" t="s">
        <v>82</v>
      </c>
      <c r="C76" s="4" t="s">
        <v>84</v>
      </c>
      <c r="D76" s="5" t="s">
        <v>16</v>
      </c>
    </row>
    <row r="77" ht="22.5" customHeight="1">
      <c r="A77" s="10" t="b">
        <v>0</v>
      </c>
      <c r="B77" s="3" t="s">
        <v>82</v>
      </c>
      <c r="C77" s="4" t="s">
        <v>85</v>
      </c>
      <c r="D77" s="5" t="s">
        <v>11</v>
      </c>
    </row>
    <row r="78" ht="22.5" customHeight="1">
      <c r="A78" s="10" t="b">
        <v>0</v>
      </c>
      <c r="B78" s="3" t="s">
        <v>82</v>
      </c>
      <c r="C78" s="4" t="s">
        <v>86</v>
      </c>
      <c r="D78" s="5" t="s">
        <v>11</v>
      </c>
    </row>
    <row r="79" ht="22.5" customHeight="1">
      <c r="A79" s="10" t="b">
        <v>0</v>
      </c>
      <c r="B79" s="3" t="s">
        <v>82</v>
      </c>
      <c r="C79" s="4" t="s">
        <v>87</v>
      </c>
      <c r="D79" s="5" t="s">
        <v>11</v>
      </c>
    </row>
    <row r="80" ht="22.5" customHeight="1">
      <c r="A80" s="10" t="b">
        <v>0</v>
      </c>
      <c r="B80" s="3" t="s">
        <v>82</v>
      </c>
      <c r="C80" s="4" t="s">
        <v>88</v>
      </c>
      <c r="D80" s="5" t="s">
        <v>11</v>
      </c>
    </row>
    <row r="81" ht="22.5" customHeight="1">
      <c r="A81" s="10" t="b">
        <v>0</v>
      </c>
      <c r="B81" s="3" t="s">
        <v>82</v>
      </c>
      <c r="C81" s="4" t="s">
        <v>89</v>
      </c>
      <c r="D81" s="5" t="s">
        <v>16</v>
      </c>
    </row>
    <row r="82" ht="22.5" customHeight="1">
      <c r="A82" s="10" t="b">
        <v>0</v>
      </c>
      <c r="B82" s="3" t="s">
        <v>82</v>
      </c>
      <c r="C82" s="4" t="s">
        <v>90</v>
      </c>
      <c r="D82" s="5" t="s">
        <v>11</v>
      </c>
    </row>
    <row r="83" ht="22.5" customHeight="1">
      <c r="A83" s="10" t="b">
        <v>0</v>
      </c>
      <c r="B83" s="3" t="s">
        <v>82</v>
      </c>
      <c r="C83" s="4" t="s">
        <v>91</v>
      </c>
      <c r="D83" s="5" t="s">
        <v>11</v>
      </c>
    </row>
    <row r="84" ht="22.5" customHeight="1">
      <c r="A84" s="10" t="b">
        <v>0</v>
      </c>
      <c r="B84" s="3" t="s">
        <v>82</v>
      </c>
      <c r="C84" s="4" t="s">
        <v>92</v>
      </c>
      <c r="D84" s="5" t="s">
        <v>93</v>
      </c>
    </row>
    <row r="85" ht="22.5" customHeight="1">
      <c r="A85" s="10" t="b">
        <v>0</v>
      </c>
      <c r="B85" s="3" t="s">
        <v>82</v>
      </c>
      <c r="C85" s="4" t="s">
        <v>94</v>
      </c>
      <c r="D85" s="5" t="s">
        <v>93</v>
      </c>
    </row>
    <row r="86" ht="22.5" customHeight="1">
      <c r="A86" s="10" t="b">
        <v>0</v>
      </c>
      <c r="B86" s="3" t="s">
        <v>82</v>
      </c>
      <c r="C86" s="11" t="s">
        <v>95</v>
      </c>
      <c r="D86" s="5" t="s">
        <v>93</v>
      </c>
    </row>
    <row r="87" ht="22.5" customHeight="1">
      <c r="A87" s="10" t="b">
        <v>0</v>
      </c>
      <c r="B87" s="3" t="s">
        <v>82</v>
      </c>
      <c r="C87" s="4" t="s">
        <v>96</v>
      </c>
      <c r="D87" s="5" t="s">
        <v>11</v>
      </c>
    </row>
    <row r="88" ht="22.5" customHeight="1">
      <c r="A88" s="4"/>
      <c r="B88" s="6"/>
      <c r="C88" s="7">
        <f>COUNTIF(PIPELINE_ET_ETL[✅],TRUE)/ROWS(PIPELINE_ET_ETL[✅])</f>
        <v>0</v>
      </c>
      <c r="D88" s="9"/>
    </row>
    <row r="89" ht="22.5" customHeight="1">
      <c r="A89" s="1" t="s">
        <v>0</v>
      </c>
      <c r="B89" s="1" t="s">
        <v>1</v>
      </c>
      <c r="C89" s="1" t="s">
        <v>2</v>
      </c>
      <c r="D89" s="1" t="s">
        <v>3</v>
      </c>
    </row>
    <row r="90" ht="22.5" customHeight="1">
      <c r="A90" s="10"/>
      <c r="B90" s="3" t="s">
        <v>97</v>
      </c>
      <c r="C90" s="4" t="s">
        <v>98</v>
      </c>
      <c r="D90" s="5" t="s">
        <v>6</v>
      </c>
    </row>
    <row r="91" ht="22.5" customHeight="1">
      <c r="A91" s="2" t="b">
        <v>0</v>
      </c>
      <c r="B91" s="3" t="s">
        <v>97</v>
      </c>
      <c r="C91" s="4" t="s">
        <v>99</v>
      </c>
      <c r="D91" s="5" t="s">
        <v>6</v>
      </c>
    </row>
    <row r="92" ht="22.5" customHeight="1">
      <c r="A92" s="2" t="b">
        <v>0</v>
      </c>
      <c r="B92" s="3" t="s">
        <v>97</v>
      </c>
      <c r="C92" s="4" t="s">
        <v>100</v>
      </c>
      <c r="D92" s="5" t="s">
        <v>6</v>
      </c>
    </row>
    <row r="93" ht="22.5" customHeight="1">
      <c r="A93" s="10"/>
      <c r="B93" s="3" t="s">
        <v>97</v>
      </c>
      <c r="C93" s="4" t="s">
        <v>101</v>
      </c>
      <c r="D93" s="5" t="s">
        <v>6</v>
      </c>
    </row>
    <row r="94" ht="22.5" customHeight="1">
      <c r="A94" s="10"/>
      <c r="B94" s="3" t="s">
        <v>97</v>
      </c>
      <c r="C94" s="4" t="s">
        <v>102</v>
      </c>
      <c r="D94" s="5" t="s">
        <v>6</v>
      </c>
    </row>
    <row r="95" ht="22.5" customHeight="1">
      <c r="A95" s="10"/>
      <c r="B95" s="3" t="s">
        <v>103</v>
      </c>
      <c r="C95" s="4" t="s">
        <v>104</v>
      </c>
      <c r="D95" s="5" t="s">
        <v>93</v>
      </c>
    </row>
    <row r="96" ht="22.5" customHeight="1">
      <c r="A96" s="10" t="b">
        <v>0</v>
      </c>
      <c r="B96" s="3" t="s">
        <v>103</v>
      </c>
      <c r="C96" s="4" t="s">
        <v>105</v>
      </c>
      <c r="D96" s="5" t="s">
        <v>93</v>
      </c>
    </row>
    <row r="97" ht="22.5" customHeight="1">
      <c r="A97" s="10" t="b">
        <v>0</v>
      </c>
      <c r="B97" s="3" t="s">
        <v>103</v>
      </c>
      <c r="C97" s="4" t="s">
        <v>106</v>
      </c>
      <c r="D97" s="5" t="s">
        <v>93</v>
      </c>
    </row>
    <row r="98" ht="22.5" customHeight="1">
      <c r="A98" s="10" t="b">
        <v>0</v>
      </c>
      <c r="B98" s="3" t="s">
        <v>103</v>
      </c>
      <c r="C98" s="4" t="s">
        <v>107</v>
      </c>
      <c r="D98" s="5" t="s">
        <v>93</v>
      </c>
    </row>
    <row r="99" ht="22.5" customHeight="1">
      <c r="A99" s="4"/>
      <c r="B99" s="6"/>
      <c r="C99" s="7">
        <f>COUNTIF(ENV._ET_INFRASTRUCTURE[✅],TRUE)/ROWS(ENV._ET_INFRASTRUCTURE[✅])</f>
        <v>0</v>
      </c>
      <c r="D99" s="9"/>
    </row>
    <row r="100" ht="22.5" customHeight="1">
      <c r="A100" s="1" t="s">
        <v>0</v>
      </c>
      <c r="B100" s="1" t="s">
        <v>1</v>
      </c>
      <c r="C100" s="1" t="s">
        <v>2</v>
      </c>
      <c r="D100" s="1" t="s">
        <v>3</v>
      </c>
    </row>
    <row r="101" ht="22.5" customHeight="1">
      <c r="A101" s="10"/>
      <c r="B101" s="3" t="s">
        <v>108</v>
      </c>
      <c r="C101" s="4" t="s">
        <v>109</v>
      </c>
      <c r="D101" s="5" t="s">
        <v>16</v>
      </c>
    </row>
    <row r="102" ht="22.5" customHeight="1">
      <c r="A102" s="2" t="b">
        <v>0</v>
      </c>
      <c r="B102" s="3" t="s">
        <v>108</v>
      </c>
      <c r="C102" s="4" t="s">
        <v>110</v>
      </c>
      <c r="D102" s="5" t="s">
        <v>16</v>
      </c>
    </row>
    <row r="103" ht="22.5" customHeight="1">
      <c r="A103" s="2" t="b">
        <v>0</v>
      </c>
      <c r="B103" s="3" t="s">
        <v>108</v>
      </c>
      <c r="C103" s="4" t="s">
        <v>111</v>
      </c>
      <c r="D103" s="5" t="s">
        <v>16</v>
      </c>
    </row>
    <row r="104" ht="22.5" customHeight="1">
      <c r="A104" s="10"/>
      <c r="B104" s="3" t="s">
        <v>108</v>
      </c>
      <c r="C104" s="4" t="s">
        <v>112</v>
      </c>
      <c r="D104" s="5" t="s">
        <v>16</v>
      </c>
    </row>
    <row r="105" ht="22.5" customHeight="1">
      <c r="A105" s="10"/>
      <c r="B105" s="3" t="s">
        <v>108</v>
      </c>
      <c r="C105" s="4" t="s">
        <v>113</v>
      </c>
      <c r="D105" s="5" t="s">
        <v>16</v>
      </c>
    </row>
    <row r="106" ht="22.5" customHeight="1">
      <c r="A106" s="10"/>
      <c r="B106" s="3" t="s">
        <v>114</v>
      </c>
      <c r="C106" s="4" t="s">
        <v>115</v>
      </c>
      <c r="D106" s="5" t="s">
        <v>6</v>
      </c>
    </row>
    <row r="107" ht="22.5" customHeight="1">
      <c r="A107" s="4"/>
      <c r="B107" s="6"/>
      <c r="C107" s="7">
        <f>COUNTIF(COMPUTER_SCIENCE[✅],TRUE)/ROWS(COMPUTER_SCIENCE[✅])</f>
        <v>0</v>
      </c>
      <c r="D107" s="9"/>
    </row>
    <row r="108" ht="22.5" customHeight="1">
      <c r="A108" s="1" t="s">
        <v>0</v>
      </c>
      <c r="B108" s="1" t="s">
        <v>1</v>
      </c>
      <c r="C108" s="1" t="s">
        <v>2</v>
      </c>
      <c r="D108" s="1" t="s">
        <v>3</v>
      </c>
    </row>
    <row r="109" ht="22.5" customHeight="1">
      <c r="A109" s="10"/>
      <c r="B109" s="3" t="s">
        <v>116</v>
      </c>
      <c r="C109" s="4" t="s">
        <v>117</v>
      </c>
      <c r="D109" s="5" t="s">
        <v>11</v>
      </c>
    </row>
    <row r="110" ht="22.5" customHeight="1">
      <c r="A110" s="2" t="b">
        <v>0</v>
      </c>
      <c r="B110" s="3" t="s">
        <v>116</v>
      </c>
      <c r="C110" s="4" t="s">
        <v>118</v>
      </c>
      <c r="D110" s="5" t="s">
        <v>11</v>
      </c>
    </row>
    <row r="111" ht="22.5" customHeight="1">
      <c r="A111" s="2" t="b">
        <v>0</v>
      </c>
      <c r="B111" s="3" t="s">
        <v>116</v>
      </c>
      <c r="C111" s="4" t="s">
        <v>119</v>
      </c>
      <c r="D111" s="5" t="s">
        <v>11</v>
      </c>
    </row>
    <row r="112" ht="22.5" customHeight="1">
      <c r="A112" s="10"/>
      <c r="B112" s="3" t="s">
        <v>116</v>
      </c>
      <c r="C112" s="4" t="s">
        <v>120</v>
      </c>
      <c r="D112" s="5" t="s">
        <v>11</v>
      </c>
    </row>
    <row r="113" ht="22.5" customHeight="1">
      <c r="A113" s="10"/>
      <c r="B113" s="3" t="s">
        <v>116</v>
      </c>
      <c r="C113" s="4" t="s">
        <v>121</v>
      </c>
      <c r="D113" s="5" t="s">
        <v>11</v>
      </c>
    </row>
    <row r="114" ht="22.5" customHeight="1">
      <c r="A114" s="10"/>
      <c r="B114" s="3" t="s">
        <v>116</v>
      </c>
      <c r="C114" s="4" t="s">
        <v>122</v>
      </c>
      <c r="D114" s="5" t="s">
        <v>16</v>
      </c>
    </row>
    <row r="115" ht="22.5" customHeight="1">
      <c r="A115" s="10" t="b">
        <v>0</v>
      </c>
      <c r="B115" s="3" t="s">
        <v>116</v>
      </c>
      <c r="C115" s="4" t="s">
        <v>123</v>
      </c>
      <c r="D115" s="5" t="s">
        <v>11</v>
      </c>
    </row>
    <row r="116" ht="22.5" customHeight="1">
      <c r="A116" s="4"/>
      <c r="B116" s="6"/>
      <c r="C116" s="7">
        <f>COUNTIF(VISUALISATION_ET_BI[✅],TRUE)/ROWS(VISUALISATION_ET_BI[✅])</f>
        <v>0</v>
      </c>
      <c r="D116" s="9"/>
    </row>
    <row r="117" ht="22.5" customHeight="1">
      <c r="A117" s="1" t="s">
        <v>0</v>
      </c>
      <c r="B117" s="1" t="s">
        <v>1</v>
      </c>
      <c r="C117" s="1" t="s">
        <v>2</v>
      </c>
      <c r="D117" s="1" t="s">
        <v>3</v>
      </c>
    </row>
    <row r="118" ht="22.5" customHeight="1">
      <c r="A118" s="10"/>
      <c r="B118" s="3" t="s">
        <v>124</v>
      </c>
      <c r="C118" s="4" t="s">
        <v>125</v>
      </c>
      <c r="D118" s="5" t="s">
        <v>93</v>
      </c>
    </row>
    <row r="119" ht="22.5" customHeight="1">
      <c r="A119" s="2"/>
      <c r="B119" s="3" t="s">
        <v>124</v>
      </c>
      <c r="C119" s="4" t="s">
        <v>126</v>
      </c>
      <c r="D119" s="5" t="s">
        <v>93</v>
      </c>
    </row>
    <row r="120" ht="22.5" customHeight="1">
      <c r="A120" s="2"/>
      <c r="B120" s="3" t="s">
        <v>124</v>
      </c>
      <c r="C120" s="4" t="s">
        <v>127</v>
      </c>
      <c r="D120" s="5" t="s">
        <v>6</v>
      </c>
    </row>
    <row r="121" ht="22.5" customHeight="1">
      <c r="A121" s="10"/>
      <c r="B121" s="3" t="s">
        <v>128</v>
      </c>
      <c r="C121" s="4" t="s">
        <v>129</v>
      </c>
      <c r="D121" s="5" t="s">
        <v>6</v>
      </c>
    </row>
    <row r="122" ht="22.5" customHeight="1">
      <c r="A122" s="10"/>
      <c r="B122" s="3" t="s">
        <v>128</v>
      </c>
      <c r="C122" s="4" t="s">
        <v>130</v>
      </c>
      <c r="D122" s="5" t="s">
        <v>6</v>
      </c>
    </row>
    <row r="123" ht="22.5" customHeight="1">
      <c r="A123" s="10"/>
      <c r="B123" s="3" t="s">
        <v>128</v>
      </c>
      <c r="C123" s="4" t="s">
        <v>131</v>
      </c>
      <c r="D123" s="5" t="s">
        <v>6</v>
      </c>
    </row>
    <row r="124" ht="22.5" customHeight="1">
      <c r="A124" s="2" t="b">
        <v>0</v>
      </c>
      <c r="B124" s="3" t="s">
        <v>128</v>
      </c>
      <c r="C124" s="4" t="s">
        <v>132</v>
      </c>
      <c r="D124" s="5" t="s">
        <v>6</v>
      </c>
    </row>
    <row r="125" ht="22.5" customHeight="1">
      <c r="A125" s="2" t="b">
        <v>0</v>
      </c>
      <c r="B125" s="3" t="s">
        <v>128</v>
      </c>
      <c r="C125" s="4" t="s">
        <v>133</v>
      </c>
      <c r="D125" s="5" t="s">
        <v>6</v>
      </c>
    </row>
    <row r="126" ht="22.5" customHeight="1">
      <c r="A126" s="4"/>
      <c r="B126" s="6"/>
      <c r="C126" s="7">
        <f>COUNTIF(CONCEPTS_IA[✅],TRUE)/ROWS(CONCEPTS_IA[✅])</f>
        <v>0</v>
      </c>
      <c r="D126" s="9"/>
    </row>
    <row r="127" ht="22.5" customHeight="1">
      <c r="A127" s="1" t="s">
        <v>0</v>
      </c>
      <c r="B127" s="1" t="s">
        <v>134</v>
      </c>
      <c r="C127" s="1" t="s">
        <v>2</v>
      </c>
      <c r="D127" s="1" t="s">
        <v>3</v>
      </c>
    </row>
    <row r="128" ht="22.5" customHeight="1">
      <c r="A128" s="10"/>
      <c r="B128" s="3" t="s">
        <v>135</v>
      </c>
      <c r="C128" s="4" t="s">
        <v>136</v>
      </c>
      <c r="D128" s="5" t="s">
        <v>11</v>
      </c>
    </row>
    <row r="129" ht="22.5" customHeight="1">
      <c r="A129" s="10" t="b">
        <v>0</v>
      </c>
      <c r="B129" s="3" t="s">
        <v>135</v>
      </c>
      <c r="C129" s="4" t="s">
        <v>137</v>
      </c>
      <c r="D129" s="5" t="s">
        <v>11</v>
      </c>
    </row>
    <row r="130" ht="22.5" customHeight="1">
      <c r="A130" s="10" t="b">
        <v>0</v>
      </c>
      <c r="B130" s="3" t="s">
        <v>135</v>
      </c>
      <c r="C130" s="4" t="s">
        <v>138</v>
      </c>
      <c r="D130" s="5" t="s">
        <v>11</v>
      </c>
    </row>
    <row r="131" ht="22.5" customHeight="1">
      <c r="A131" s="10"/>
      <c r="B131" s="3" t="s">
        <v>139</v>
      </c>
      <c r="C131" s="4" t="s">
        <v>140</v>
      </c>
      <c r="D131" s="5" t="s">
        <v>11</v>
      </c>
    </row>
    <row r="132" ht="22.5" customHeight="1">
      <c r="A132" s="10" t="b">
        <v>0</v>
      </c>
      <c r="B132" s="3" t="s">
        <v>139</v>
      </c>
      <c r="C132" s="4" t="s">
        <v>141</v>
      </c>
      <c r="D132" s="5" t="s">
        <v>11</v>
      </c>
    </row>
    <row r="133" ht="22.5" customHeight="1">
      <c r="A133" s="10" t="b">
        <v>0</v>
      </c>
      <c r="B133" s="3" t="s">
        <v>139</v>
      </c>
      <c r="C133" s="4" t="s">
        <v>142</v>
      </c>
      <c r="D133" s="5" t="s">
        <v>11</v>
      </c>
    </row>
    <row r="134" ht="22.5" customHeight="1">
      <c r="A134" s="10"/>
      <c r="B134" s="3" t="s">
        <v>143</v>
      </c>
      <c r="C134" s="4" t="s">
        <v>144</v>
      </c>
      <c r="D134" s="5" t="s">
        <v>6</v>
      </c>
    </row>
    <row r="135" ht="22.5" customHeight="1">
      <c r="A135" s="10" t="b">
        <v>0</v>
      </c>
      <c r="B135" s="3" t="s">
        <v>143</v>
      </c>
      <c r="C135" s="4" t="s">
        <v>145</v>
      </c>
      <c r="D135" s="5" t="s">
        <v>6</v>
      </c>
    </row>
    <row r="136" ht="22.5" customHeight="1">
      <c r="A136" s="10"/>
      <c r="B136" s="3" t="s">
        <v>146</v>
      </c>
      <c r="C136" s="4" t="s">
        <v>147</v>
      </c>
      <c r="D136" s="5" t="s">
        <v>11</v>
      </c>
    </row>
    <row r="137" ht="22.5" customHeight="1">
      <c r="A137" s="10"/>
      <c r="B137" s="3" t="s">
        <v>148</v>
      </c>
      <c r="C137" s="4" t="s">
        <v>149</v>
      </c>
      <c r="D137" s="5" t="s">
        <v>6</v>
      </c>
    </row>
    <row r="138" ht="22.5" customHeight="1">
      <c r="A138" s="10"/>
      <c r="B138" s="3" t="s">
        <v>150</v>
      </c>
      <c r="C138" s="4" t="s">
        <v>151</v>
      </c>
      <c r="D138" s="5" t="s">
        <v>11</v>
      </c>
    </row>
    <row r="139" ht="22.5" customHeight="1">
      <c r="A139" s="10" t="b">
        <v>0</v>
      </c>
      <c r="B139" s="3" t="s">
        <v>150</v>
      </c>
      <c r="C139" s="4" t="s">
        <v>152</v>
      </c>
      <c r="D139" s="5" t="s">
        <v>11</v>
      </c>
    </row>
    <row r="140" ht="22.5" customHeight="1">
      <c r="A140" s="10" t="b">
        <v>0</v>
      </c>
      <c r="B140" s="3" t="s">
        <v>150</v>
      </c>
      <c r="C140" s="4" t="s">
        <v>153</v>
      </c>
      <c r="D140" s="5" t="s">
        <v>6</v>
      </c>
    </row>
    <row r="141" ht="22.5" customHeight="1">
      <c r="A141" s="10" t="b">
        <v>0</v>
      </c>
      <c r="B141" s="3" t="s">
        <v>150</v>
      </c>
      <c r="C141" s="4" t="s">
        <v>154</v>
      </c>
      <c r="D141" s="5" t="s">
        <v>11</v>
      </c>
    </row>
    <row r="142" ht="22.5" customHeight="1">
      <c r="A142" s="10" t="b">
        <v>0</v>
      </c>
      <c r="B142" s="3" t="s">
        <v>150</v>
      </c>
      <c r="C142" s="4" t="s">
        <v>155</v>
      </c>
      <c r="D142" s="5" t="s">
        <v>93</v>
      </c>
    </row>
    <row r="143" ht="22.5" customHeight="1">
      <c r="A143" s="2" t="b">
        <v>0</v>
      </c>
      <c r="B143" s="3" t="s">
        <v>150</v>
      </c>
      <c r="C143" s="4" t="s">
        <v>156</v>
      </c>
      <c r="D143" s="5" t="s">
        <v>11</v>
      </c>
    </row>
    <row r="144" ht="22.5" customHeight="1">
      <c r="A144" s="4"/>
      <c r="B144" s="6"/>
      <c r="C144" s="7">
        <f>COUNTIF(PROJET_FIL_ROUGE[✅],TRUE)/ROWS(PROJET_FIL_ROUGE[✅])</f>
        <v>0</v>
      </c>
      <c r="D144" s="9"/>
    </row>
  </sheetData>
  <conditionalFormatting sqref="A2:D144">
    <cfRule type="expression" dxfId="9" priority="1">
      <formula>$A2=TRUE</formula>
    </cfRule>
  </conditionalFormatting>
  <dataValidations>
    <dataValidation type="list" allowBlank="1" sqref="D2:D9 D12:D36 D39:D49 D52:D65 D68:D87 D90:D98 D101:D106 D109:D115 D118:D125 D128:D143">
      <formula1>"Indispensable,Important,Bonus,Accessoire"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4.38"/>
    <col customWidth="1" min="3" max="3" width="24.38"/>
    <col customWidth="1" min="4" max="4" width="15.75"/>
    <col customWidth="1" min="5" max="5" width="33.75"/>
    <col customWidth="1" min="6" max="6" width="42.75"/>
  </cols>
  <sheetData>
    <row r="1" ht="22.5" customHeight="1">
      <c r="A1" s="1" t="s">
        <v>1</v>
      </c>
      <c r="B1" s="1" t="s">
        <v>157</v>
      </c>
      <c r="C1" s="1" t="s">
        <v>158</v>
      </c>
      <c r="D1" s="1" t="s">
        <v>159</v>
      </c>
      <c r="E1" s="1" t="s">
        <v>160</v>
      </c>
      <c r="F1" s="12" t="s">
        <v>161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22.5" customHeight="1">
      <c r="A2" s="14" t="s">
        <v>162</v>
      </c>
      <c r="B2" s="15"/>
      <c r="C2" s="16" t="s">
        <v>163</v>
      </c>
      <c r="D2" s="17"/>
      <c r="E2" s="9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22.5" customHeight="1">
      <c r="A3" s="14" t="s">
        <v>164</v>
      </c>
      <c r="B3" s="15"/>
      <c r="C3" s="16" t="s">
        <v>163</v>
      </c>
      <c r="D3" s="17"/>
      <c r="E3" s="9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22.5" customHeight="1">
      <c r="A4" s="14" t="s">
        <v>165</v>
      </c>
      <c r="B4" s="15"/>
      <c r="C4" s="20" t="s">
        <v>166</v>
      </c>
      <c r="D4" s="21">
        <v>5.0</v>
      </c>
      <c r="E4" s="22" t="s">
        <v>167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22.5" customHeight="1">
      <c r="A5" s="14" t="s">
        <v>168</v>
      </c>
      <c r="B5" s="16" t="s">
        <v>165</v>
      </c>
      <c r="C5" s="16" t="s">
        <v>166</v>
      </c>
      <c r="D5" s="17"/>
      <c r="E5" s="9"/>
      <c r="F5" s="22" t="s">
        <v>169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22.5" customHeight="1">
      <c r="A6" s="14" t="s">
        <v>170</v>
      </c>
      <c r="B6" s="16" t="s">
        <v>165</v>
      </c>
      <c r="C6" s="16" t="s">
        <v>166</v>
      </c>
      <c r="D6" s="21">
        <v>4.0</v>
      </c>
      <c r="E6" s="22" t="s">
        <v>171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22.5" customHeight="1">
      <c r="A7" s="14" t="s">
        <v>172</v>
      </c>
      <c r="B7" s="15"/>
      <c r="C7" s="16" t="s">
        <v>166</v>
      </c>
      <c r="D7" s="21">
        <v>4.0</v>
      </c>
      <c r="E7" s="22" t="s">
        <v>173</v>
      </c>
      <c r="F7" s="2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22.5" customHeight="1">
      <c r="A8" s="14" t="s">
        <v>174</v>
      </c>
      <c r="B8" s="16" t="s">
        <v>165</v>
      </c>
      <c r="C8" s="16" t="s">
        <v>166</v>
      </c>
      <c r="D8" s="21">
        <v>3.0</v>
      </c>
      <c r="E8" s="22" t="s">
        <v>175</v>
      </c>
      <c r="F8" s="22" t="s">
        <v>176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22.5" customHeight="1">
      <c r="A9" s="14" t="s">
        <v>177</v>
      </c>
      <c r="B9" s="15"/>
      <c r="C9" s="15"/>
      <c r="D9" s="17"/>
      <c r="E9" s="9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22.5" customHeight="1">
      <c r="A10" s="24"/>
      <c r="B10" s="15"/>
      <c r="C10" s="15"/>
      <c r="D10" s="17"/>
      <c r="E10" s="9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22.5" customHeight="1">
      <c r="A11" s="24"/>
      <c r="B11" s="15"/>
      <c r="C11" s="15"/>
      <c r="D11" s="17"/>
      <c r="E11" s="9"/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22.5" customHeight="1">
      <c r="A12" s="24"/>
      <c r="B12" s="15"/>
      <c r="C12" s="15"/>
      <c r="D12" s="17"/>
      <c r="E12" s="9"/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22.5" customHeight="1">
      <c r="A13" s="24"/>
      <c r="B13" s="15"/>
      <c r="C13" s="15"/>
      <c r="D13" s="17"/>
      <c r="E13" s="9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2.5" customHeight="1">
      <c r="A14" s="24"/>
      <c r="B14" s="15"/>
      <c r="C14" s="15"/>
      <c r="D14" s="17"/>
      <c r="E14" s="9"/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2.5" customHeight="1">
      <c r="A15" s="24"/>
      <c r="B15" s="15"/>
      <c r="C15" s="15"/>
      <c r="D15" s="17"/>
      <c r="E15" s="9"/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</sheetData>
  <dataValidations>
    <dataValidation type="list" allowBlank="1" sqref="A2:C15">
      <formula1>#REF!</formula1>
    </dataValidation>
  </dataValidations>
  <hyperlinks>
    <hyperlink r:id="rId1" ref="E4"/>
    <hyperlink r:id="rId2" ref="F5"/>
    <hyperlink r:id="rId3" ref="E6"/>
    <hyperlink r:id="rId4" ref="E7"/>
    <hyperlink r:id="rId5" ref="E8"/>
    <hyperlink r:id="rId6" ref="F8"/>
  </hyperlinks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5.88"/>
    <col customWidth="1" min="3" max="3" width="16.13"/>
    <col customWidth="1" min="4" max="4" width="39.38"/>
  </cols>
  <sheetData>
    <row r="1">
      <c r="A1" s="25" t="s">
        <v>178</v>
      </c>
      <c r="B1" s="25" t="s">
        <v>1</v>
      </c>
      <c r="C1" s="26" t="s">
        <v>179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180</v>
      </c>
      <c r="B2" s="29" t="s">
        <v>4</v>
      </c>
      <c r="C2" s="30" t="s">
        <v>181</v>
      </c>
      <c r="D2" s="31" t="str">
        <f t="shared" ref="D2:D26" si="1">A2 &amp; " : " &amp; B2</f>
        <v>Maths : Algèbre linéaire</v>
      </c>
    </row>
    <row r="3">
      <c r="A3" s="28" t="s">
        <v>180</v>
      </c>
      <c r="B3" s="29" t="s">
        <v>9</v>
      </c>
      <c r="C3" s="30" t="s">
        <v>182</v>
      </c>
      <c r="D3" s="31" t="str">
        <f t="shared" si="1"/>
        <v>Maths : Statistiques et probabilités</v>
      </c>
    </row>
    <row r="4">
      <c r="A4" s="28" t="s">
        <v>183</v>
      </c>
      <c r="B4" s="29" t="s">
        <v>17</v>
      </c>
      <c r="C4" s="30" t="s">
        <v>184</v>
      </c>
      <c r="D4" s="31" t="str">
        <f t="shared" si="1"/>
        <v>Python : Bases</v>
      </c>
    </row>
    <row r="5">
      <c r="A5" s="28" t="s">
        <v>183</v>
      </c>
      <c r="B5" s="29" t="s">
        <v>24</v>
      </c>
      <c r="C5" s="30" t="s">
        <v>185</v>
      </c>
      <c r="D5" s="31" t="str">
        <f t="shared" si="1"/>
        <v>Python : NumPy</v>
      </c>
    </row>
    <row r="6">
      <c r="A6" s="28" t="s">
        <v>183</v>
      </c>
      <c r="B6" s="29" t="s">
        <v>31</v>
      </c>
      <c r="C6" s="30" t="s">
        <v>186</v>
      </c>
      <c r="D6" s="31" t="str">
        <f t="shared" si="1"/>
        <v>Python : Pandas</v>
      </c>
    </row>
    <row r="7">
      <c r="A7" s="28" t="s">
        <v>183</v>
      </c>
      <c r="B7" s="29" t="s">
        <v>41</v>
      </c>
      <c r="C7" s="32" t="s">
        <v>187</v>
      </c>
      <c r="D7" s="31" t="str">
        <f t="shared" si="1"/>
        <v>Python : Visualisation</v>
      </c>
    </row>
    <row r="8">
      <c r="A8" s="28" t="s">
        <v>188</v>
      </c>
      <c r="B8" s="29" t="s">
        <v>17</v>
      </c>
      <c r="C8" s="30" t="s">
        <v>189</v>
      </c>
      <c r="D8" s="31" t="str">
        <f t="shared" si="1"/>
        <v>SQL : Bases</v>
      </c>
    </row>
    <row r="9">
      <c r="A9" s="28" t="s">
        <v>188</v>
      </c>
      <c r="B9" s="29" t="s">
        <v>52</v>
      </c>
      <c r="C9" s="30" t="s">
        <v>190</v>
      </c>
      <c r="D9" s="31" t="str">
        <f t="shared" si="1"/>
        <v>SQL : Window functions, CTE, optimisation, index</v>
      </c>
    </row>
    <row r="10">
      <c r="A10" s="28" t="s">
        <v>191</v>
      </c>
      <c r="B10" s="29" t="s">
        <v>58</v>
      </c>
      <c r="C10" s="30" t="s">
        <v>192</v>
      </c>
      <c r="D10" s="31" t="str">
        <f t="shared" si="1"/>
        <v>Bases de données : PostgreSQL</v>
      </c>
    </row>
    <row r="11">
      <c r="A11" s="28" t="s">
        <v>191</v>
      </c>
      <c r="B11" s="29" t="s">
        <v>67</v>
      </c>
      <c r="C11" s="30" t="s">
        <v>193</v>
      </c>
      <c r="D11" s="31" t="str">
        <f t="shared" si="1"/>
        <v>Bases de données : NoSQL</v>
      </c>
    </row>
    <row r="12">
      <c r="A12" s="28" t="s">
        <v>194</v>
      </c>
      <c r="B12" s="29" t="s">
        <v>74</v>
      </c>
      <c r="C12" s="30" t="s">
        <v>166</v>
      </c>
      <c r="D12" s="31" t="str">
        <f t="shared" si="1"/>
        <v>Pipeline &amp; ETL : Bases et théorie</v>
      </c>
    </row>
    <row r="13">
      <c r="A13" s="28" t="s">
        <v>194</v>
      </c>
      <c r="B13" s="29" t="s">
        <v>82</v>
      </c>
      <c r="C13" s="30" t="s">
        <v>163</v>
      </c>
      <c r="D13" s="31" t="str">
        <f t="shared" si="1"/>
        <v>Pipeline &amp; ETL : Projet : API / CSV → Python → DB</v>
      </c>
    </row>
    <row r="14">
      <c r="A14" s="28" t="s">
        <v>195</v>
      </c>
      <c r="B14" s="29" t="s">
        <v>97</v>
      </c>
      <c r="C14" s="30" t="s">
        <v>196</v>
      </c>
      <c r="D14" s="31" t="str">
        <f t="shared" si="1"/>
        <v>Environnement &amp; Infrastructure : Linux</v>
      </c>
    </row>
    <row r="15">
      <c r="A15" s="28" t="s">
        <v>195</v>
      </c>
      <c r="B15" s="29" t="s">
        <v>103</v>
      </c>
      <c r="C15" s="30" t="s">
        <v>197</v>
      </c>
      <c r="D15" s="31" t="str">
        <f t="shared" si="1"/>
        <v>Environnement &amp; Infrastructure : Docker</v>
      </c>
      <c r="F15" s="28"/>
    </row>
    <row r="16">
      <c r="A16" s="28" t="s">
        <v>198</v>
      </c>
      <c r="B16" s="29" t="s">
        <v>108</v>
      </c>
      <c r="C16" s="30" t="s">
        <v>199</v>
      </c>
      <c r="D16" s="31" t="str">
        <f t="shared" si="1"/>
        <v>Computer Science : Complexité O(n)</v>
      </c>
    </row>
    <row r="17">
      <c r="A17" s="28" t="s">
        <v>198</v>
      </c>
      <c r="B17" s="29" t="s">
        <v>114</v>
      </c>
      <c r="C17" s="30" t="s">
        <v>200</v>
      </c>
      <c r="D17" s="31" t="str">
        <f t="shared" si="1"/>
        <v>Computer Science : Logique algorithmique</v>
      </c>
    </row>
    <row r="18">
      <c r="A18" s="28" t="s">
        <v>201</v>
      </c>
      <c r="B18" s="29" t="s">
        <v>116</v>
      </c>
      <c r="C18" s="30" t="s">
        <v>202</v>
      </c>
      <c r="D18" s="31" t="str">
        <f t="shared" si="1"/>
        <v>Visualisation &amp; BI : Power BI</v>
      </c>
    </row>
    <row r="19">
      <c r="A19" s="28" t="s">
        <v>203</v>
      </c>
      <c r="B19" s="29" t="s">
        <v>124</v>
      </c>
      <c r="C19" s="30" t="s">
        <v>204</v>
      </c>
      <c r="D19" s="31" t="str">
        <f t="shared" si="1"/>
        <v>Concept IA : Supervisé / non supervisé</v>
      </c>
    </row>
    <row r="20">
      <c r="A20" s="28" t="s">
        <v>203</v>
      </c>
      <c r="B20" s="29" t="s">
        <v>128</v>
      </c>
      <c r="C20" s="30" t="s">
        <v>116</v>
      </c>
      <c r="D20" s="31" t="str">
        <f t="shared" si="1"/>
        <v>Concept IA : Types de modèles simples</v>
      </c>
    </row>
    <row r="21">
      <c r="A21" s="28" t="s">
        <v>205</v>
      </c>
      <c r="B21" s="29" t="s">
        <v>135</v>
      </c>
      <c r="C21" s="30" t="s">
        <v>206</v>
      </c>
      <c r="D21" s="31" t="str">
        <f t="shared" si="1"/>
        <v>Projet fil rouge : PostgreSQL (4–6h)</v>
      </c>
    </row>
    <row r="22">
      <c r="A22" s="28" t="s">
        <v>205</v>
      </c>
      <c r="B22" s="29" t="s">
        <v>139</v>
      </c>
      <c r="C22" s="30" t="s">
        <v>207</v>
      </c>
      <c r="D22" s="31" t="str">
        <f t="shared" si="1"/>
        <v>Projet fil rouge : Pipeline Python (10-12h)</v>
      </c>
    </row>
    <row r="23">
      <c r="A23" s="28" t="s">
        <v>205</v>
      </c>
      <c r="B23" s="29" t="s">
        <v>143</v>
      </c>
      <c r="D23" s="31" t="str">
        <f t="shared" si="1"/>
        <v>Projet fil rouge : API Flask (6–8 h)</v>
      </c>
    </row>
    <row r="24">
      <c r="A24" s="28" t="s">
        <v>205</v>
      </c>
      <c r="B24" s="29" t="s">
        <v>146</v>
      </c>
      <c r="D24" s="31" t="str">
        <f t="shared" si="1"/>
        <v>Projet fil rouge : Power BI (5–8h)</v>
      </c>
    </row>
    <row r="25">
      <c r="A25" s="28" t="s">
        <v>205</v>
      </c>
      <c r="B25" s="29" t="s">
        <v>148</v>
      </c>
      <c r="D25" s="31" t="str">
        <f t="shared" si="1"/>
        <v>Projet fil rouge : Next.js (5–8h)</v>
      </c>
    </row>
    <row r="26">
      <c r="A26" s="28" t="s">
        <v>205</v>
      </c>
      <c r="B26" s="29" t="s">
        <v>150</v>
      </c>
      <c r="D26" s="31" t="str">
        <f t="shared" si="1"/>
        <v>Projet fil rouge : GitHub</v>
      </c>
    </row>
    <row r="28">
      <c r="A28" s="29"/>
      <c r="B28" s="29"/>
    </row>
    <row r="29">
      <c r="A29" s="29"/>
      <c r="B29" s="29"/>
    </row>
    <row r="30">
      <c r="A30" s="29"/>
      <c r="B30" s="29"/>
    </row>
    <row r="31">
      <c r="A31" s="29"/>
      <c r="B31" s="29"/>
    </row>
    <row r="32">
      <c r="A32" s="29"/>
      <c r="B32" s="29"/>
    </row>
    <row r="33">
      <c r="A33" s="29"/>
      <c r="B33" s="29"/>
    </row>
    <row r="34">
      <c r="A34" s="29"/>
      <c r="B34" s="29"/>
    </row>
    <row r="35">
      <c r="A35" s="29"/>
      <c r="B35" s="29"/>
    </row>
    <row r="36">
      <c r="A36" s="29"/>
      <c r="B36" s="29"/>
    </row>
    <row r="37">
      <c r="A37" s="29"/>
      <c r="B37" s="29"/>
    </row>
    <row r="38">
      <c r="A38" s="29"/>
      <c r="B38" s="29"/>
    </row>
    <row r="39">
      <c r="A39" s="29"/>
      <c r="B39" s="29"/>
    </row>
    <row r="40">
      <c r="A40" s="29"/>
      <c r="B40" s="29"/>
    </row>
    <row r="41">
      <c r="A41" s="29"/>
      <c r="B41" s="29"/>
    </row>
    <row r="42">
      <c r="A42" s="29"/>
      <c r="B42" s="29"/>
    </row>
    <row r="43">
      <c r="A43" s="29"/>
      <c r="B43" s="29"/>
    </row>
    <row r="44">
      <c r="A44" s="29"/>
      <c r="B44" s="29"/>
    </row>
    <row r="45">
      <c r="A45" s="29"/>
      <c r="B45" s="29"/>
    </row>
    <row r="46">
      <c r="A46" s="29"/>
      <c r="B46" s="29"/>
    </row>
    <row r="47">
      <c r="A47" s="29"/>
      <c r="B47" s="29"/>
    </row>
    <row r="48">
      <c r="A48" s="29"/>
      <c r="B48" s="29"/>
    </row>
    <row r="49">
      <c r="A49" s="29"/>
      <c r="B49" s="29"/>
    </row>
    <row r="50">
      <c r="A50" s="29"/>
      <c r="B50" s="29"/>
    </row>
    <row r="51">
      <c r="A51" s="29"/>
      <c r="B51" s="29"/>
    </row>
    <row r="52">
      <c r="A52" s="29"/>
      <c r="B52" s="29"/>
    </row>
    <row r="53">
      <c r="A53" s="29"/>
      <c r="B53" s="29"/>
    </row>
    <row r="54">
      <c r="A54" s="29"/>
      <c r="B54" s="29"/>
    </row>
    <row r="55">
      <c r="A55" s="29"/>
      <c r="B55" s="29"/>
    </row>
    <row r="56">
      <c r="A56" s="29"/>
      <c r="B56" s="29"/>
    </row>
    <row r="57">
      <c r="A57" s="29"/>
      <c r="B57" s="29"/>
    </row>
    <row r="58">
      <c r="A58" s="29"/>
      <c r="B58" s="29"/>
    </row>
    <row r="59">
      <c r="A59" s="29"/>
      <c r="B59" s="29"/>
    </row>
    <row r="60">
      <c r="A60" s="29"/>
      <c r="B60" s="29"/>
    </row>
    <row r="61">
      <c r="A61" s="29"/>
      <c r="B61" s="29"/>
    </row>
    <row r="62">
      <c r="A62" s="29"/>
      <c r="B62" s="29"/>
    </row>
    <row r="63">
      <c r="A63" s="29"/>
      <c r="B63" s="29"/>
    </row>
    <row r="64">
      <c r="A64" s="29"/>
      <c r="B64" s="29"/>
    </row>
    <row r="65">
      <c r="A65" s="29"/>
      <c r="B65" s="29"/>
    </row>
    <row r="66">
      <c r="A66" s="29"/>
      <c r="B66" s="29"/>
    </row>
    <row r="67">
      <c r="A67" s="29"/>
      <c r="B67" s="29"/>
    </row>
    <row r="68">
      <c r="A68" s="29"/>
      <c r="B68" s="29"/>
    </row>
    <row r="69">
      <c r="A69" s="29"/>
      <c r="B69" s="29"/>
    </row>
    <row r="70">
      <c r="A70" s="29"/>
      <c r="B70" s="29"/>
    </row>
    <row r="71">
      <c r="A71" s="29"/>
      <c r="B71" s="29"/>
    </row>
    <row r="72">
      <c r="A72" s="29"/>
      <c r="B72" s="29"/>
    </row>
    <row r="73">
      <c r="A73" s="29"/>
      <c r="B73" s="29"/>
    </row>
    <row r="74">
      <c r="A74" s="29"/>
      <c r="B74" s="29"/>
    </row>
    <row r="75">
      <c r="A75" s="29"/>
      <c r="B75" s="29"/>
    </row>
    <row r="76">
      <c r="A76" s="29"/>
      <c r="B76" s="29"/>
    </row>
    <row r="77">
      <c r="A77" s="29"/>
      <c r="B77" s="29"/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  <row r="146">
      <c r="A146" s="29"/>
      <c r="B146" s="29"/>
    </row>
    <row r="147">
      <c r="A147" s="29"/>
      <c r="B147" s="29"/>
    </row>
    <row r="148">
      <c r="A148" s="29"/>
      <c r="B148" s="29"/>
    </row>
    <row r="149">
      <c r="A149" s="29"/>
      <c r="B149" s="29"/>
    </row>
    <row r="150">
      <c r="A150" s="29"/>
      <c r="B150" s="29"/>
    </row>
    <row r="151">
      <c r="A151" s="29"/>
      <c r="B151" s="29"/>
    </row>
    <row r="152">
      <c r="A152" s="29"/>
      <c r="B152" s="29"/>
    </row>
    <row r="153">
      <c r="A153" s="29"/>
      <c r="B153" s="29"/>
    </row>
    <row r="154">
      <c r="A154" s="29"/>
      <c r="B154" s="29"/>
    </row>
    <row r="155">
      <c r="A155" s="29"/>
      <c r="B155" s="29"/>
    </row>
    <row r="156">
      <c r="A156" s="29"/>
      <c r="B156" s="29"/>
    </row>
    <row r="157">
      <c r="A157" s="29"/>
      <c r="B157" s="29"/>
    </row>
    <row r="158">
      <c r="A158" s="29"/>
      <c r="B158" s="29"/>
    </row>
    <row r="159">
      <c r="A159" s="29"/>
      <c r="B159" s="29"/>
    </row>
    <row r="160">
      <c r="A160" s="29"/>
      <c r="B160" s="29"/>
    </row>
    <row r="161">
      <c r="A161" s="29"/>
      <c r="B161" s="29"/>
    </row>
    <row r="162">
      <c r="A162" s="29"/>
      <c r="B162" s="29"/>
    </row>
    <row r="163">
      <c r="A163" s="29"/>
      <c r="B163" s="29"/>
    </row>
    <row r="164">
      <c r="A164" s="29"/>
      <c r="B164" s="29"/>
    </row>
    <row r="165">
      <c r="A165" s="29"/>
      <c r="B165" s="29"/>
    </row>
    <row r="166">
      <c r="A166" s="29"/>
      <c r="B166" s="29"/>
    </row>
    <row r="167">
      <c r="A167" s="29"/>
      <c r="B167" s="29"/>
    </row>
    <row r="168">
      <c r="A168" s="29"/>
      <c r="B168" s="29"/>
    </row>
    <row r="169">
      <c r="A169" s="29"/>
      <c r="B169" s="29"/>
    </row>
    <row r="170">
      <c r="A170" s="29"/>
      <c r="B170" s="29"/>
    </row>
    <row r="171">
      <c r="A171" s="29"/>
      <c r="B171" s="29"/>
    </row>
    <row r="172">
      <c r="A172" s="29"/>
      <c r="B172" s="29"/>
    </row>
    <row r="173">
      <c r="A173" s="29"/>
      <c r="B173" s="29"/>
    </row>
    <row r="174">
      <c r="A174" s="29"/>
      <c r="B174" s="29"/>
    </row>
    <row r="175">
      <c r="A175" s="29"/>
      <c r="B175" s="29"/>
    </row>
    <row r="176">
      <c r="A176" s="29"/>
      <c r="B176" s="29"/>
    </row>
    <row r="177">
      <c r="A177" s="29"/>
      <c r="B177" s="29"/>
    </row>
    <row r="178">
      <c r="A178" s="29"/>
      <c r="B178" s="29"/>
    </row>
    <row r="179">
      <c r="A179" s="29"/>
      <c r="B179" s="29"/>
    </row>
    <row r="180">
      <c r="A180" s="29"/>
      <c r="B180" s="29"/>
    </row>
    <row r="181">
      <c r="A181" s="29"/>
      <c r="B181" s="29"/>
    </row>
    <row r="182">
      <c r="A182" s="29"/>
      <c r="B182" s="29"/>
    </row>
    <row r="183">
      <c r="A183" s="29"/>
      <c r="B183" s="29"/>
    </row>
    <row r="184">
      <c r="A184" s="29"/>
      <c r="B184" s="29"/>
    </row>
    <row r="185">
      <c r="A185" s="29"/>
      <c r="B185" s="29"/>
    </row>
    <row r="186">
      <c r="A186" s="29"/>
      <c r="B186" s="29"/>
    </row>
    <row r="187">
      <c r="A187" s="29"/>
      <c r="B187" s="29"/>
    </row>
    <row r="188">
      <c r="A188" s="29"/>
      <c r="B188" s="29"/>
    </row>
    <row r="189">
      <c r="A189" s="29"/>
      <c r="B189" s="29"/>
    </row>
    <row r="190">
      <c r="A190" s="29"/>
      <c r="B190" s="29"/>
    </row>
    <row r="191">
      <c r="A191" s="29"/>
      <c r="B191" s="29"/>
    </row>
    <row r="192">
      <c r="A192" s="29"/>
      <c r="B192" s="29"/>
    </row>
    <row r="193">
      <c r="A193" s="29"/>
      <c r="B193" s="29"/>
    </row>
    <row r="194">
      <c r="A194" s="29"/>
      <c r="B194" s="29"/>
    </row>
    <row r="195">
      <c r="A195" s="29"/>
      <c r="B195" s="29"/>
    </row>
    <row r="196">
      <c r="A196" s="29"/>
      <c r="B196" s="29"/>
    </row>
    <row r="197">
      <c r="A197" s="29"/>
      <c r="B197" s="29"/>
    </row>
    <row r="198">
      <c r="A198" s="29"/>
      <c r="B198" s="29"/>
    </row>
    <row r="199">
      <c r="A199" s="29"/>
      <c r="B199" s="29"/>
    </row>
    <row r="200">
      <c r="A200" s="29"/>
      <c r="B200" s="29"/>
    </row>
    <row r="201">
      <c r="A201" s="29"/>
      <c r="B201" s="29"/>
    </row>
    <row r="202">
      <c r="A202" s="29"/>
      <c r="B202" s="29"/>
    </row>
    <row r="203">
      <c r="A203" s="29"/>
      <c r="B203" s="29"/>
    </row>
    <row r="204">
      <c r="A204" s="29"/>
      <c r="B204" s="29"/>
    </row>
    <row r="205">
      <c r="A205" s="29"/>
      <c r="B205" s="29"/>
    </row>
    <row r="206">
      <c r="A206" s="29"/>
      <c r="B206" s="29"/>
    </row>
    <row r="207">
      <c r="A207" s="29"/>
      <c r="B207" s="29"/>
    </row>
    <row r="208">
      <c r="A208" s="29"/>
      <c r="B208" s="29"/>
    </row>
    <row r="209">
      <c r="A209" s="29"/>
      <c r="B209" s="29"/>
    </row>
    <row r="210">
      <c r="A210" s="29"/>
      <c r="B210" s="29"/>
    </row>
    <row r="211">
      <c r="A211" s="29"/>
      <c r="B211" s="29"/>
    </row>
    <row r="212">
      <c r="A212" s="29"/>
      <c r="B212" s="29"/>
    </row>
    <row r="213">
      <c r="A213" s="29"/>
      <c r="B213" s="29"/>
    </row>
    <row r="214">
      <c r="A214" s="29"/>
      <c r="B214" s="29"/>
    </row>
    <row r="215">
      <c r="A215" s="29"/>
      <c r="B215" s="29"/>
    </row>
    <row r="216">
      <c r="A216" s="29"/>
      <c r="B216" s="29"/>
    </row>
    <row r="217">
      <c r="A217" s="29"/>
      <c r="B217" s="29"/>
    </row>
    <row r="218">
      <c r="A218" s="29"/>
      <c r="B218" s="29"/>
    </row>
    <row r="219">
      <c r="A219" s="29"/>
      <c r="B219" s="29"/>
    </row>
    <row r="220">
      <c r="A220" s="29"/>
      <c r="B220" s="29"/>
    </row>
    <row r="221">
      <c r="A221" s="29"/>
      <c r="B221" s="29"/>
    </row>
    <row r="222">
      <c r="A222" s="29"/>
      <c r="B222" s="29"/>
    </row>
    <row r="223">
      <c r="A223" s="29"/>
      <c r="B223" s="29"/>
    </row>
    <row r="224">
      <c r="A224" s="29"/>
      <c r="B224" s="29"/>
    </row>
    <row r="225">
      <c r="A225" s="29"/>
      <c r="B225" s="29"/>
    </row>
    <row r="226">
      <c r="A226" s="29"/>
      <c r="B226" s="29"/>
    </row>
    <row r="227">
      <c r="A227" s="29"/>
      <c r="B227" s="29"/>
    </row>
    <row r="228">
      <c r="A228" s="29"/>
      <c r="B228" s="29"/>
    </row>
    <row r="229">
      <c r="A229" s="29"/>
      <c r="B229" s="29"/>
    </row>
    <row r="230">
      <c r="A230" s="29"/>
      <c r="B230" s="29"/>
    </row>
    <row r="231">
      <c r="A231" s="29"/>
      <c r="B231" s="29"/>
    </row>
    <row r="232">
      <c r="A232" s="29"/>
      <c r="B232" s="29"/>
    </row>
    <row r="233">
      <c r="A233" s="29"/>
      <c r="B233" s="29"/>
    </row>
    <row r="234">
      <c r="A234" s="29"/>
      <c r="B234" s="29"/>
    </row>
    <row r="235">
      <c r="A235" s="29"/>
      <c r="B235" s="29"/>
    </row>
    <row r="236">
      <c r="A236" s="29"/>
      <c r="B236" s="29"/>
    </row>
    <row r="237">
      <c r="A237" s="29"/>
      <c r="B237" s="29"/>
    </row>
    <row r="238">
      <c r="A238" s="29"/>
      <c r="B238" s="29"/>
    </row>
    <row r="239">
      <c r="A239" s="29"/>
      <c r="B239" s="29"/>
    </row>
    <row r="240">
      <c r="A240" s="29"/>
      <c r="B240" s="29"/>
    </row>
    <row r="241">
      <c r="A241" s="29"/>
      <c r="B241" s="29"/>
    </row>
    <row r="242">
      <c r="A242" s="29"/>
      <c r="B242" s="29"/>
    </row>
    <row r="243">
      <c r="A243" s="29"/>
      <c r="B243" s="29"/>
    </row>
    <row r="244">
      <c r="A244" s="29"/>
      <c r="B244" s="29"/>
    </row>
    <row r="245">
      <c r="A245" s="29"/>
      <c r="B245" s="29"/>
    </row>
    <row r="246">
      <c r="A246" s="29"/>
      <c r="B246" s="29"/>
    </row>
    <row r="247">
      <c r="A247" s="29"/>
      <c r="B247" s="29"/>
    </row>
    <row r="248">
      <c r="A248" s="29"/>
      <c r="B248" s="29"/>
    </row>
    <row r="249">
      <c r="A249" s="29"/>
      <c r="B249" s="29"/>
    </row>
    <row r="250">
      <c r="A250" s="29"/>
      <c r="B250" s="29"/>
    </row>
    <row r="251">
      <c r="A251" s="29"/>
      <c r="B251" s="29"/>
    </row>
    <row r="252">
      <c r="A252" s="29"/>
      <c r="B252" s="29"/>
    </row>
    <row r="253">
      <c r="A253" s="29"/>
      <c r="B253" s="29"/>
    </row>
    <row r="254">
      <c r="A254" s="29"/>
      <c r="B254" s="29"/>
    </row>
    <row r="255">
      <c r="A255" s="29"/>
      <c r="B255" s="29"/>
    </row>
    <row r="256">
      <c r="A256" s="29"/>
      <c r="B256" s="29"/>
    </row>
    <row r="257">
      <c r="A257" s="29"/>
      <c r="B257" s="29"/>
    </row>
    <row r="258">
      <c r="A258" s="29"/>
      <c r="B258" s="29"/>
    </row>
    <row r="259">
      <c r="A259" s="29"/>
      <c r="B259" s="29"/>
    </row>
    <row r="260">
      <c r="A260" s="29"/>
      <c r="B260" s="29"/>
    </row>
    <row r="261">
      <c r="A261" s="29"/>
      <c r="B261" s="29"/>
    </row>
    <row r="262">
      <c r="A262" s="29"/>
      <c r="B262" s="29"/>
    </row>
    <row r="263">
      <c r="A263" s="29"/>
      <c r="B263" s="29"/>
    </row>
    <row r="264">
      <c r="A264" s="29"/>
      <c r="B264" s="29"/>
    </row>
    <row r="265">
      <c r="A265" s="29"/>
      <c r="B265" s="29"/>
    </row>
    <row r="266">
      <c r="A266" s="29"/>
      <c r="B266" s="29"/>
    </row>
    <row r="267">
      <c r="A267" s="29"/>
      <c r="B267" s="29"/>
    </row>
    <row r="268">
      <c r="A268" s="29"/>
      <c r="B268" s="29"/>
    </row>
    <row r="269">
      <c r="A269" s="29"/>
      <c r="B269" s="29"/>
    </row>
    <row r="270">
      <c r="A270" s="29"/>
      <c r="B270" s="29"/>
    </row>
    <row r="271">
      <c r="A271" s="29"/>
      <c r="B271" s="29"/>
    </row>
    <row r="272">
      <c r="A272" s="29"/>
      <c r="B272" s="29"/>
    </row>
    <row r="273">
      <c r="A273" s="29"/>
      <c r="B273" s="29"/>
    </row>
    <row r="274">
      <c r="A274" s="29"/>
      <c r="B274" s="29"/>
    </row>
    <row r="275">
      <c r="A275" s="29"/>
      <c r="B275" s="29"/>
    </row>
    <row r="276">
      <c r="A276" s="29"/>
      <c r="B276" s="29"/>
    </row>
    <row r="277">
      <c r="A277" s="29"/>
      <c r="B277" s="29"/>
    </row>
    <row r="278">
      <c r="A278" s="29"/>
      <c r="B278" s="29"/>
    </row>
    <row r="279">
      <c r="A279" s="29"/>
      <c r="B279" s="29"/>
    </row>
    <row r="280">
      <c r="A280" s="29"/>
      <c r="B280" s="29"/>
    </row>
    <row r="281">
      <c r="A281" s="29"/>
      <c r="B281" s="29"/>
    </row>
    <row r="282">
      <c r="A282" s="29"/>
      <c r="B282" s="29"/>
    </row>
    <row r="283">
      <c r="A283" s="29"/>
      <c r="B283" s="29"/>
    </row>
    <row r="284">
      <c r="A284" s="29"/>
      <c r="B284" s="29"/>
    </row>
    <row r="285">
      <c r="A285" s="29"/>
      <c r="B285" s="29"/>
    </row>
    <row r="286">
      <c r="A286" s="29"/>
      <c r="B286" s="29"/>
    </row>
    <row r="287">
      <c r="A287" s="29"/>
      <c r="B287" s="29"/>
    </row>
    <row r="288">
      <c r="A288" s="29"/>
      <c r="B288" s="29"/>
    </row>
    <row r="289">
      <c r="A289" s="29"/>
      <c r="B289" s="29"/>
    </row>
    <row r="290">
      <c r="A290" s="29"/>
      <c r="B290" s="29"/>
    </row>
    <row r="291">
      <c r="A291" s="29"/>
      <c r="B291" s="29"/>
    </row>
    <row r="292">
      <c r="A292" s="29"/>
      <c r="B292" s="29"/>
    </row>
    <row r="293">
      <c r="A293" s="29"/>
      <c r="B293" s="29"/>
    </row>
    <row r="294">
      <c r="A294" s="29"/>
      <c r="B294" s="29"/>
    </row>
    <row r="295">
      <c r="A295" s="29"/>
      <c r="B295" s="29"/>
    </row>
    <row r="296">
      <c r="A296" s="29"/>
      <c r="B296" s="29"/>
    </row>
    <row r="297">
      <c r="A297" s="29"/>
      <c r="B297" s="29"/>
    </row>
    <row r="298">
      <c r="A298" s="29"/>
      <c r="B298" s="29"/>
    </row>
    <row r="299">
      <c r="A299" s="29"/>
      <c r="B299" s="29"/>
    </row>
    <row r="300">
      <c r="A300" s="29"/>
      <c r="B300" s="29"/>
    </row>
    <row r="301">
      <c r="A301" s="29"/>
      <c r="B301" s="29"/>
    </row>
    <row r="302">
      <c r="A302" s="29"/>
      <c r="B302" s="29"/>
    </row>
    <row r="303">
      <c r="A303" s="29"/>
      <c r="B303" s="29"/>
    </row>
    <row r="304">
      <c r="A304" s="29"/>
      <c r="B304" s="29"/>
    </row>
    <row r="305">
      <c r="A305" s="29"/>
      <c r="B305" s="29"/>
    </row>
    <row r="306">
      <c r="A306" s="29"/>
      <c r="B306" s="29"/>
    </row>
    <row r="307">
      <c r="A307" s="29"/>
      <c r="B307" s="29"/>
    </row>
    <row r="308">
      <c r="A308" s="29"/>
      <c r="B308" s="29"/>
    </row>
    <row r="309">
      <c r="A309" s="29"/>
      <c r="B309" s="29"/>
    </row>
    <row r="310">
      <c r="A310" s="29"/>
      <c r="B310" s="29"/>
    </row>
    <row r="311">
      <c r="A311" s="29"/>
      <c r="B311" s="29"/>
    </row>
    <row r="312">
      <c r="A312" s="29"/>
      <c r="B312" s="29"/>
    </row>
    <row r="313">
      <c r="A313" s="29"/>
      <c r="B313" s="29"/>
    </row>
    <row r="314">
      <c r="A314" s="29"/>
      <c r="B314" s="29"/>
    </row>
    <row r="315">
      <c r="A315" s="29"/>
      <c r="B315" s="29"/>
    </row>
    <row r="316">
      <c r="A316" s="29"/>
      <c r="B316" s="29"/>
    </row>
    <row r="317">
      <c r="A317" s="29"/>
      <c r="B317" s="29"/>
    </row>
    <row r="318">
      <c r="A318" s="29"/>
      <c r="B318" s="29"/>
    </row>
    <row r="319">
      <c r="A319" s="29"/>
      <c r="B319" s="29"/>
    </row>
    <row r="320">
      <c r="A320" s="29"/>
      <c r="B320" s="29"/>
    </row>
    <row r="321">
      <c r="A321" s="29"/>
      <c r="B321" s="29"/>
    </row>
    <row r="322">
      <c r="A322" s="29"/>
      <c r="B322" s="29"/>
    </row>
    <row r="323">
      <c r="A323" s="29"/>
      <c r="B323" s="29"/>
    </row>
    <row r="324">
      <c r="A324" s="29"/>
      <c r="B324" s="29"/>
    </row>
    <row r="325">
      <c r="A325" s="29"/>
      <c r="B325" s="29"/>
    </row>
    <row r="326">
      <c r="A326" s="29"/>
      <c r="B326" s="29"/>
    </row>
    <row r="327">
      <c r="A327" s="29"/>
      <c r="B327" s="29"/>
    </row>
    <row r="328">
      <c r="A328" s="29"/>
      <c r="B328" s="29"/>
    </row>
    <row r="329">
      <c r="A329" s="29"/>
      <c r="B329" s="29"/>
    </row>
    <row r="330">
      <c r="A330" s="29"/>
      <c r="B330" s="29"/>
    </row>
    <row r="331">
      <c r="A331" s="29"/>
      <c r="B331" s="29"/>
    </row>
    <row r="332">
      <c r="A332" s="29"/>
      <c r="B332" s="29"/>
    </row>
    <row r="333">
      <c r="A333" s="29"/>
      <c r="B333" s="29"/>
    </row>
    <row r="334">
      <c r="A334" s="29"/>
      <c r="B334" s="29"/>
    </row>
    <row r="335">
      <c r="A335" s="29"/>
      <c r="B335" s="29"/>
    </row>
    <row r="336">
      <c r="A336" s="29"/>
      <c r="B336" s="29"/>
    </row>
    <row r="337">
      <c r="A337" s="29"/>
      <c r="B337" s="29"/>
    </row>
    <row r="338">
      <c r="A338" s="29"/>
      <c r="B338" s="29"/>
    </row>
    <row r="339">
      <c r="A339" s="29"/>
      <c r="B339" s="29"/>
    </row>
    <row r="340">
      <c r="A340" s="29"/>
      <c r="B340" s="29"/>
    </row>
    <row r="341">
      <c r="A341" s="29"/>
      <c r="B341" s="29"/>
    </row>
    <row r="342">
      <c r="A342" s="29"/>
      <c r="B342" s="29"/>
    </row>
    <row r="343">
      <c r="A343" s="29"/>
      <c r="B343" s="29"/>
    </row>
    <row r="344">
      <c r="A344" s="29"/>
      <c r="B344" s="29"/>
    </row>
    <row r="345">
      <c r="A345" s="29"/>
      <c r="B345" s="29"/>
    </row>
    <row r="346">
      <c r="A346" s="29"/>
      <c r="B346" s="29"/>
    </row>
    <row r="347">
      <c r="A347" s="29"/>
      <c r="B347" s="29"/>
    </row>
    <row r="348">
      <c r="A348" s="29"/>
      <c r="B348" s="29"/>
    </row>
    <row r="349">
      <c r="A349" s="29"/>
      <c r="B349" s="29"/>
    </row>
    <row r="350">
      <c r="A350" s="29"/>
      <c r="B350" s="29"/>
    </row>
    <row r="351">
      <c r="A351" s="29"/>
      <c r="B351" s="29"/>
    </row>
    <row r="352">
      <c r="A352" s="29"/>
      <c r="B352" s="29"/>
    </row>
    <row r="353">
      <c r="A353" s="29"/>
      <c r="B353" s="29"/>
    </row>
    <row r="354">
      <c r="A354" s="29"/>
      <c r="B354" s="29"/>
    </row>
    <row r="355">
      <c r="A355" s="29"/>
      <c r="B355" s="29"/>
    </row>
    <row r="356">
      <c r="A356" s="29"/>
      <c r="B356" s="29"/>
    </row>
    <row r="357">
      <c r="A357" s="29"/>
      <c r="B357" s="29"/>
    </row>
    <row r="358">
      <c r="A358" s="29"/>
      <c r="B358" s="29"/>
    </row>
    <row r="359">
      <c r="A359" s="29"/>
      <c r="B359" s="29"/>
    </row>
    <row r="360">
      <c r="A360" s="29"/>
      <c r="B360" s="29"/>
    </row>
    <row r="361">
      <c r="A361" s="29"/>
      <c r="B361" s="29"/>
    </row>
    <row r="362">
      <c r="A362" s="29"/>
      <c r="B362" s="29"/>
    </row>
    <row r="363">
      <c r="A363" s="29"/>
      <c r="B363" s="29"/>
    </row>
    <row r="364">
      <c r="A364" s="29"/>
      <c r="B364" s="29"/>
    </row>
    <row r="365">
      <c r="A365" s="29"/>
      <c r="B365" s="29"/>
    </row>
    <row r="366">
      <c r="A366" s="29"/>
      <c r="B366" s="29"/>
    </row>
    <row r="367">
      <c r="A367" s="29"/>
      <c r="B367" s="29"/>
    </row>
    <row r="368">
      <c r="A368" s="29"/>
      <c r="B368" s="29"/>
    </row>
    <row r="369">
      <c r="A369" s="29"/>
      <c r="B369" s="29"/>
    </row>
    <row r="370">
      <c r="A370" s="29"/>
      <c r="B370" s="29"/>
    </row>
    <row r="371">
      <c r="A371" s="29"/>
      <c r="B371" s="29"/>
    </row>
    <row r="372">
      <c r="A372" s="29"/>
      <c r="B372" s="29"/>
    </row>
    <row r="373">
      <c r="A373" s="29"/>
      <c r="B373" s="29"/>
    </row>
    <row r="374">
      <c r="A374" s="29"/>
      <c r="B374" s="29"/>
    </row>
    <row r="375">
      <c r="A375" s="29"/>
      <c r="B375" s="29"/>
    </row>
    <row r="376">
      <c r="A376" s="29"/>
      <c r="B376" s="29"/>
    </row>
    <row r="377">
      <c r="A377" s="29"/>
      <c r="B377" s="29"/>
    </row>
    <row r="378">
      <c r="A378" s="29"/>
      <c r="B378" s="29"/>
    </row>
    <row r="379">
      <c r="A379" s="29"/>
      <c r="B379" s="29"/>
    </row>
    <row r="380">
      <c r="A380" s="29"/>
      <c r="B380" s="29"/>
    </row>
    <row r="381">
      <c r="A381" s="29"/>
      <c r="B381" s="29"/>
    </row>
    <row r="382">
      <c r="A382" s="29"/>
      <c r="B382" s="29"/>
    </row>
    <row r="383">
      <c r="A383" s="29"/>
      <c r="B383" s="29"/>
    </row>
    <row r="384">
      <c r="A384" s="29"/>
      <c r="B384" s="29"/>
    </row>
    <row r="385">
      <c r="A385" s="29"/>
      <c r="B385" s="29"/>
    </row>
    <row r="386">
      <c r="A386" s="29"/>
      <c r="B386" s="29"/>
    </row>
    <row r="387">
      <c r="A387" s="29"/>
      <c r="B387" s="29"/>
    </row>
    <row r="388">
      <c r="A388" s="29"/>
      <c r="B388" s="29"/>
    </row>
    <row r="389">
      <c r="A389" s="29"/>
      <c r="B389" s="29"/>
    </row>
    <row r="390">
      <c r="A390" s="29"/>
      <c r="B390" s="29"/>
    </row>
    <row r="391">
      <c r="A391" s="29"/>
      <c r="B391" s="29"/>
    </row>
    <row r="392">
      <c r="A392" s="29"/>
      <c r="B392" s="29"/>
    </row>
    <row r="393">
      <c r="A393" s="29"/>
      <c r="B393" s="29"/>
    </row>
    <row r="394">
      <c r="A394" s="29"/>
      <c r="B394" s="29"/>
    </row>
    <row r="395">
      <c r="A395" s="29"/>
      <c r="B395" s="29"/>
    </row>
    <row r="396">
      <c r="A396" s="29"/>
      <c r="B396" s="29"/>
    </row>
    <row r="397">
      <c r="A397" s="29"/>
      <c r="B397" s="29"/>
    </row>
    <row r="398">
      <c r="A398" s="29"/>
      <c r="B398" s="29"/>
    </row>
    <row r="399">
      <c r="A399" s="29"/>
      <c r="B399" s="29"/>
    </row>
    <row r="400">
      <c r="A400" s="29"/>
      <c r="B400" s="29"/>
    </row>
    <row r="401">
      <c r="A401" s="29"/>
      <c r="B401" s="29"/>
    </row>
    <row r="402">
      <c r="A402" s="29"/>
      <c r="B402" s="29"/>
    </row>
    <row r="403">
      <c r="A403" s="29"/>
      <c r="B403" s="29"/>
    </row>
    <row r="404">
      <c r="A404" s="29"/>
      <c r="B404" s="29"/>
    </row>
    <row r="405">
      <c r="A405" s="29"/>
      <c r="B405" s="29"/>
    </row>
    <row r="406">
      <c r="A406" s="29"/>
      <c r="B406" s="29"/>
    </row>
    <row r="407">
      <c r="A407" s="29"/>
      <c r="B407" s="29"/>
    </row>
    <row r="408">
      <c r="A408" s="29"/>
      <c r="B408" s="29"/>
    </row>
    <row r="409">
      <c r="A409" s="29"/>
      <c r="B409" s="29"/>
    </row>
    <row r="410">
      <c r="A410" s="29"/>
      <c r="B410" s="29"/>
    </row>
    <row r="411">
      <c r="A411" s="29"/>
      <c r="B411" s="29"/>
    </row>
    <row r="412">
      <c r="A412" s="29"/>
      <c r="B412" s="29"/>
    </row>
    <row r="413">
      <c r="A413" s="29"/>
      <c r="B413" s="29"/>
    </row>
    <row r="414">
      <c r="A414" s="29"/>
      <c r="B414" s="29"/>
    </row>
    <row r="415">
      <c r="A415" s="29"/>
      <c r="B415" s="29"/>
    </row>
    <row r="416">
      <c r="A416" s="29"/>
      <c r="B416" s="29"/>
    </row>
    <row r="417">
      <c r="A417" s="29"/>
      <c r="B417" s="29"/>
    </row>
    <row r="418">
      <c r="A418" s="29"/>
      <c r="B418" s="29"/>
    </row>
    <row r="419">
      <c r="A419" s="29"/>
      <c r="B419" s="29"/>
    </row>
    <row r="420">
      <c r="A420" s="29"/>
      <c r="B420" s="29"/>
    </row>
    <row r="421">
      <c r="A421" s="29"/>
      <c r="B421" s="29"/>
    </row>
    <row r="422">
      <c r="A422" s="29"/>
      <c r="B422" s="29"/>
    </row>
    <row r="423">
      <c r="A423" s="29"/>
      <c r="B423" s="29"/>
    </row>
    <row r="424">
      <c r="A424" s="29"/>
      <c r="B424" s="29"/>
    </row>
    <row r="425">
      <c r="A425" s="29"/>
      <c r="B425" s="29"/>
    </row>
    <row r="426">
      <c r="A426" s="29"/>
      <c r="B426" s="29"/>
    </row>
    <row r="427">
      <c r="A427" s="29"/>
      <c r="B427" s="29"/>
    </row>
    <row r="428">
      <c r="A428" s="29"/>
      <c r="B428" s="29"/>
    </row>
    <row r="429">
      <c r="A429" s="29"/>
      <c r="B429" s="29"/>
    </row>
    <row r="430">
      <c r="A430" s="29"/>
      <c r="B430" s="29"/>
    </row>
    <row r="431">
      <c r="A431" s="29"/>
      <c r="B431" s="29"/>
    </row>
    <row r="432">
      <c r="A432" s="29"/>
      <c r="B432" s="29"/>
    </row>
    <row r="433">
      <c r="A433" s="29"/>
      <c r="B433" s="29"/>
    </row>
    <row r="434">
      <c r="A434" s="29"/>
      <c r="B434" s="29"/>
    </row>
    <row r="435">
      <c r="A435" s="29"/>
      <c r="B435" s="29"/>
    </row>
    <row r="436">
      <c r="A436" s="29"/>
      <c r="B436" s="29"/>
    </row>
    <row r="437">
      <c r="A437" s="29"/>
      <c r="B437" s="29"/>
    </row>
    <row r="438">
      <c r="A438" s="29"/>
      <c r="B438" s="29"/>
    </row>
    <row r="439">
      <c r="A439" s="29"/>
      <c r="B439" s="29"/>
    </row>
    <row r="440">
      <c r="A440" s="29"/>
      <c r="B440" s="29"/>
    </row>
    <row r="441">
      <c r="A441" s="29"/>
      <c r="B441" s="29"/>
    </row>
    <row r="442">
      <c r="A442" s="29"/>
      <c r="B442" s="29"/>
    </row>
    <row r="443">
      <c r="A443" s="29"/>
      <c r="B443" s="29"/>
    </row>
    <row r="444">
      <c r="A444" s="29"/>
      <c r="B444" s="29"/>
    </row>
    <row r="445">
      <c r="A445" s="29"/>
      <c r="B445" s="29"/>
    </row>
    <row r="446">
      <c r="A446" s="29"/>
      <c r="B446" s="29"/>
    </row>
    <row r="447">
      <c r="A447" s="29"/>
      <c r="B447" s="29"/>
    </row>
    <row r="448">
      <c r="A448" s="29"/>
      <c r="B448" s="29"/>
    </row>
    <row r="449">
      <c r="A449" s="29"/>
      <c r="B449" s="29"/>
    </row>
    <row r="450">
      <c r="A450" s="29"/>
      <c r="B450" s="29"/>
    </row>
    <row r="451">
      <c r="A451" s="29"/>
      <c r="B451" s="29"/>
    </row>
    <row r="452">
      <c r="A452" s="29"/>
      <c r="B452" s="29"/>
    </row>
    <row r="453">
      <c r="A453" s="29"/>
      <c r="B453" s="29"/>
    </row>
    <row r="454">
      <c r="A454" s="29"/>
      <c r="B454" s="29"/>
    </row>
    <row r="455">
      <c r="A455" s="29"/>
      <c r="B455" s="29"/>
    </row>
    <row r="456">
      <c r="A456" s="29"/>
      <c r="B456" s="29"/>
    </row>
    <row r="457">
      <c r="A457" s="29"/>
      <c r="B457" s="29"/>
    </row>
    <row r="458">
      <c r="A458" s="29"/>
      <c r="B458" s="29"/>
    </row>
    <row r="459">
      <c r="A459" s="29"/>
      <c r="B459" s="29"/>
    </row>
    <row r="460">
      <c r="A460" s="29"/>
      <c r="B460" s="29"/>
    </row>
    <row r="461">
      <c r="A461" s="29"/>
      <c r="B461" s="29"/>
    </row>
    <row r="462">
      <c r="A462" s="29"/>
      <c r="B462" s="29"/>
    </row>
    <row r="463">
      <c r="A463" s="29"/>
      <c r="B463" s="29"/>
    </row>
    <row r="464">
      <c r="A464" s="29"/>
      <c r="B464" s="29"/>
    </row>
    <row r="465">
      <c r="A465" s="29"/>
      <c r="B465" s="29"/>
    </row>
    <row r="466">
      <c r="A466" s="29"/>
      <c r="B466" s="29"/>
    </row>
    <row r="467">
      <c r="A467" s="29"/>
      <c r="B467" s="29"/>
    </row>
    <row r="468">
      <c r="A468" s="29"/>
      <c r="B468" s="29"/>
    </row>
    <row r="469">
      <c r="A469" s="29"/>
      <c r="B469" s="29"/>
    </row>
    <row r="470">
      <c r="A470" s="29"/>
      <c r="B470" s="29"/>
    </row>
    <row r="471">
      <c r="A471" s="29"/>
      <c r="B471" s="29"/>
    </row>
    <row r="472">
      <c r="A472" s="29"/>
      <c r="B472" s="29"/>
    </row>
    <row r="473">
      <c r="A473" s="29"/>
      <c r="B473" s="29"/>
    </row>
    <row r="474">
      <c r="A474" s="29"/>
      <c r="B474" s="29"/>
    </row>
    <row r="475">
      <c r="A475" s="29"/>
      <c r="B475" s="29"/>
    </row>
    <row r="476">
      <c r="A476" s="29"/>
      <c r="B476" s="29"/>
    </row>
    <row r="477">
      <c r="A477" s="29"/>
      <c r="B477" s="29"/>
    </row>
    <row r="478">
      <c r="A478" s="29"/>
      <c r="B478" s="29"/>
    </row>
    <row r="479">
      <c r="A479" s="29"/>
      <c r="B479" s="29"/>
    </row>
    <row r="480">
      <c r="A480" s="29"/>
      <c r="B480" s="29"/>
    </row>
    <row r="481">
      <c r="A481" s="29"/>
      <c r="B481" s="29"/>
    </row>
    <row r="482">
      <c r="A482" s="29"/>
      <c r="B482" s="29"/>
    </row>
    <row r="483">
      <c r="A483" s="29"/>
      <c r="B483" s="29"/>
    </row>
    <row r="484">
      <c r="A484" s="29"/>
      <c r="B484" s="29"/>
    </row>
    <row r="485">
      <c r="A485" s="29"/>
      <c r="B485" s="29"/>
    </row>
    <row r="486">
      <c r="A486" s="29"/>
      <c r="B486" s="29"/>
    </row>
    <row r="487">
      <c r="A487" s="29"/>
      <c r="B487" s="29"/>
    </row>
    <row r="488">
      <c r="A488" s="29"/>
      <c r="B488" s="29"/>
    </row>
    <row r="489">
      <c r="A489" s="29"/>
      <c r="B489" s="29"/>
    </row>
    <row r="490">
      <c r="A490" s="29"/>
      <c r="B490" s="29"/>
    </row>
    <row r="491">
      <c r="A491" s="29"/>
      <c r="B491" s="29"/>
    </row>
    <row r="492">
      <c r="A492" s="29"/>
      <c r="B492" s="29"/>
    </row>
    <row r="493">
      <c r="A493" s="29"/>
      <c r="B493" s="29"/>
    </row>
    <row r="494">
      <c r="A494" s="29"/>
      <c r="B494" s="29"/>
    </row>
    <row r="495">
      <c r="A495" s="29"/>
      <c r="B495" s="29"/>
    </row>
    <row r="496">
      <c r="A496" s="29"/>
      <c r="B496" s="29"/>
    </row>
    <row r="497">
      <c r="A497" s="29"/>
      <c r="B497" s="29"/>
    </row>
    <row r="498">
      <c r="A498" s="29"/>
      <c r="B498" s="29"/>
    </row>
    <row r="499">
      <c r="A499" s="29"/>
      <c r="B499" s="29"/>
    </row>
    <row r="500">
      <c r="A500" s="29"/>
      <c r="B500" s="29"/>
    </row>
    <row r="501">
      <c r="A501" s="29"/>
      <c r="B501" s="29"/>
    </row>
    <row r="502">
      <c r="A502" s="29"/>
      <c r="B502" s="29"/>
    </row>
    <row r="503">
      <c r="A503" s="29"/>
      <c r="B503" s="29"/>
    </row>
    <row r="504">
      <c r="A504" s="29"/>
      <c r="B504" s="29"/>
    </row>
    <row r="505">
      <c r="A505" s="29"/>
      <c r="B505" s="29"/>
    </row>
    <row r="506">
      <c r="A506" s="29"/>
      <c r="B506" s="29"/>
    </row>
    <row r="507">
      <c r="A507" s="29"/>
      <c r="B507" s="29"/>
    </row>
    <row r="508">
      <c r="A508" s="29"/>
      <c r="B508" s="29"/>
    </row>
    <row r="509">
      <c r="A509" s="29"/>
      <c r="B509" s="29"/>
    </row>
    <row r="510">
      <c r="A510" s="29"/>
      <c r="B510" s="29"/>
    </row>
    <row r="511">
      <c r="A511" s="29"/>
      <c r="B511" s="29"/>
    </row>
    <row r="512">
      <c r="A512" s="29"/>
      <c r="B512" s="29"/>
    </row>
    <row r="513">
      <c r="A513" s="29"/>
      <c r="B513" s="29"/>
    </row>
    <row r="514">
      <c r="A514" s="29"/>
      <c r="B514" s="29"/>
    </row>
    <row r="515">
      <c r="A515" s="29"/>
      <c r="B515" s="29"/>
    </row>
    <row r="516">
      <c r="A516" s="29"/>
      <c r="B516" s="29"/>
    </row>
    <row r="517">
      <c r="A517" s="29"/>
      <c r="B517" s="29"/>
    </row>
    <row r="518">
      <c r="A518" s="29"/>
      <c r="B518" s="29"/>
    </row>
    <row r="519">
      <c r="A519" s="29"/>
      <c r="B519" s="29"/>
    </row>
    <row r="520">
      <c r="A520" s="29"/>
      <c r="B520" s="29"/>
    </row>
    <row r="521">
      <c r="A521" s="29"/>
      <c r="B521" s="29"/>
    </row>
    <row r="522">
      <c r="A522" s="29"/>
      <c r="B522" s="29"/>
    </row>
    <row r="523">
      <c r="A523" s="29"/>
      <c r="B523" s="29"/>
    </row>
    <row r="524">
      <c r="A524" s="29"/>
      <c r="B524" s="29"/>
    </row>
    <row r="525">
      <c r="A525" s="29"/>
      <c r="B525" s="29"/>
    </row>
    <row r="526">
      <c r="A526" s="29"/>
      <c r="B526" s="29"/>
    </row>
    <row r="527">
      <c r="A527" s="29"/>
      <c r="B527" s="29"/>
    </row>
    <row r="528">
      <c r="A528" s="29"/>
      <c r="B528" s="29"/>
    </row>
    <row r="529">
      <c r="A529" s="29"/>
      <c r="B529" s="29"/>
    </row>
    <row r="530">
      <c r="A530" s="29"/>
      <c r="B530" s="29"/>
    </row>
    <row r="531">
      <c r="A531" s="29"/>
      <c r="B531" s="29"/>
    </row>
    <row r="532">
      <c r="A532" s="29"/>
      <c r="B532" s="29"/>
    </row>
    <row r="533">
      <c r="A533" s="29"/>
      <c r="B533" s="29"/>
    </row>
    <row r="534">
      <c r="A534" s="29"/>
      <c r="B534" s="29"/>
    </row>
    <row r="535">
      <c r="A535" s="29"/>
      <c r="B535" s="29"/>
    </row>
    <row r="536">
      <c r="A536" s="29"/>
      <c r="B536" s="29"/>
    </row>
    <row r="537">
      <c r="A537" s="29"/>
      <c r="B537" s="29"/>
    </row>
    <row r="538">
      <c r="A538" s="29"/>
      <c r="B538" s="29"/>
    </row>
    <row r="539">
      <c r="A539" s="29"/>
      <c r="B539" s="29"/>
    </row>
    <row r="540">
      <c r="A540" s="29"/>
      <c r="B540" s="29"/>
    </row>
    <row r="541">
      <c r="A541" s="29"/>
      <c r="B541" s="29"/>
    </row>
    <row r="542">
      <c r="A542" s="29"/>
      <c r="B542" s="29"/>
    </row>
    <row r="543">
      <c r="A543" s="29"/>
      <c r="B543" s="29"/>
    </row>
    <row r="544">
      <c r="A544" s="29"/>
      <c r="B544" s="29"/>
    </row>
    <row r="545">
      <c r="A545" s="29"/>
      <c r="B545" s="29"/>
    </row>
    <row r="546">
      <c r="A546" s="29"/>
      <c r="B546" s="29"/>
    </row>
    <row r="547">
      <c r="A547" s="29"/>
      <c r="B547" s="29"/>
    </row>
    <row r="548">
      <c r="A548" s="29"/>
      <c r="B548" s="29"/>
    </row>
    <row r="549">
      <c r="A549" s="29"/>
      <c r="B549" s="29"/>
    </row>
    <row r="550">
      <c r="A550" s="29"/>
      <c r="B550" s="29"/>
    </row>
    <row r="551">
      <c r="A551" s="29"/>
      <c r="B551" s="29"/>
    </row>
    <row r="552">
      <c r="A552" s="29"/>
      <c r="B552" s="29"/>
    </row>
    <row r="553">
      <c r="A553" s="29"/>
      <c r="B553" s="29"/>
    </row>
    <row r="554">
      <c r="A554" s="29"/>
      <c r="B554" s="29"/>
    </row>
    <row r="555">
      <c r="A555" s="29"/>
      <c r="B555" s="29"/>
    </row>
    <row r="556">
      <c r="A556" s="29"/>
      <c r="B556" s="29"/>
    </row>
    <row r="557">
      <c r="A557" s="29"/>
      <c r="B557" s="29"/>
    </row>
    <row r="558">
      <c r="A558" s="29"/>
      <c r="B558" s="29"/>
    </row>
    <row r="559">
      <c r="A559" s="29"/>
      <c r="B559" s="29"/>
    </row>
    <row r="560">
      <c r="A560" s="29"/>
      <c r="B560" s="29"/>
    </row>
    <row r="561">
      <c r="A561" s="29"/>
      <c r="B561" s="29"/>
    </row>
    <row r="562">
      <c r="A562" s="29"/>
      <c r="B562" s="29"/>
    </row>
    <row r="563">
      <c r="A563" s="29"/>
      <c r="B563" s="29"/>
    </row>
    <row r="564">
      <c r="A564" s="29"/>
      <c r="B564" s="29"/>
    </row>
    <row r="565">
      <c r="A565" s="29"/>
      <c r="B565" s="29"/>
    </row>
    <row r="566">
      <c r="A566" s="29"/>
      <c r="B566" s="29"/>
    </row>
    <row r="567">
      <c r="A567" s="29"/>
      <c r="B567" s="29"/>
    </row>
    <row r="568">
      <c r="A568" s="29"/>
      <c r="B568" s="29"/>
    </row>
    <row r="569">
      <c r="A569" s="29"/>
      <c r="B569" s="29"/>
    </row>
    <row r="570">
      <c r="A570" s="29"/>
      <c r="B570" s="29"/>
    </row>
    <row r="571">
      <c r="A571" s="29"/>
      <c r="B571" s="29"/>
    </row>
    <row r="572">
      <c r="A572" s="29"/>
      <c r="B572" s="29"/>
    </row>
    <row r="573">
      <c r="A573" s="29"/>
      <c r="B573" s="29"/>
    </row>
    <row r="574">
      <c r="A574" s="29"/>
      <c r="B574" s="29"/>
    </row>
    <row r="575">
      <c r="A575" s="29"/>
      <c r="B575" s="29"/>
    </row>
    <row r="576">
      <c r="A576" s="29"/>
      <c r="B576" s="29"/>
    </row>
    <row r="577">
      <c r="A577" s="29"/>
      <c r="B577" s="29"/>
    </row>
    <row r="578">
      <c r="A578" s="29"/>
      <c r="B578" s="29"/>
    </row>
    <row r="579">
      <c r="A579" s="29"/>
      <c r="B579" s="29"/>
    </row>
    <row r="580">
      <c r="A580" s="29"/>
      <c r="B580" s="29"/>
    </row>
    <row r="581">
      <c r="A581" s="29"/>
      <c r="B581" s="29"/>
    </row>
    <row r="582">
      <c r="A582" s="29"/>
      <c r="B582" s="29"/>
    </row>
    <row r="583">
      <c r="A583" s="29"/>
      <c r="B583" s="29"/>
    </row>
    <row r="584">
      <c r="A584" s="29"/>
      <c r="B584" s="29"/>
    </row>
    <row r="585">
      <c r="A585" s="29"/>
      <c r="B585" s="29"/>
    </row>
    <row r="586">
      <c r="A586" s="29"/>
      <c r="B586" s="29"/>
    </row>
    <row r="587">
      <c r="A587" s="29"/>
      <c r="B587" s="29"/>
    </row>
    <row r="588">
      <c r="A588" s="29"/>
      <c r="B588" s="29"/>
    </row>
    <row r="589">
      <c r="A589" s="29"/>
      <c r="B589" s="29"/>
    </row>
    <row r="590">
      <c r="A590" s="29"/>
      <c r="B590" s="29"/>
    </row>
    <row r="591">
      <c r="A591" s="29"/>
      <c r="B591" s="29"/>
    </row>
    <row r="592">
      <c r="A592" s="29"/>
      <c r="B592" s="29"/>
    </row>
    <row r="593">
      <c r="A593" s="29"/>
      <c r="B593" s="29"/>
    </row>
    <row r="594">
      <c r="A594" s="29"/>
      <c r="B594" s="29"/>
    </row>
    <row r="595">
      <c r="A595" s="29"/>
      <c r="B595" s="29"/>
    </row>
    <row r="596">
      <c r="A596" s="29"/>
      <c r="B596" s="29"/>
    </row>
    <row r="597">
      <c r="A597" s="29"/>
      <c r="B597" s="29"/>
    </row>
    <row r="598">
      <c r="A598" s="29"/>
      <c r="B598" s="29"/>
    </row>
    <row r="599">
      <c r="A599" s="29"/>
      <c r="B599" s="29"/>
    </row>
    <row r="600">
      <c r="A600" s="29"/>
      <c r="B600" s="29"/>
    </row>
    <row r="601">
      <c r="A601" s="29"/>
      <c r="B601" s="29"/>
    </row>
    <row r="602">
      <c r="A602" s="29"/>
      <c r="B602" s="29"/>
    </row>
    <row r="603">
      <c r="A603" s="29"/>
      <c r="B603" s="29"/>
    </row>
    <row r="604">
      <c r="A604" s="29"/>
      <c r="B604" s="29"/>
    </row>
    <row r="605">
      <c r="A605" s="29"/>
      <c r="B605" s="29"/>
    </row>
    <row r="606">
      <c r="A606" s="29"/>
      <c r="B606" s="29"/>
    </row>
    <row r="607">
      <c r="A607" s="29"/>
      <c r="B607" s="29"/>
    </row>
    <row r="608">
      <c r="A608" s="29"/>
      <c r="B608" s="29"/>
    </row>
    <row r="609">
      <c r="A609" s="29"/>
      <c r="B609" s="29"/>
    </row>
    <row r="610">
      <c r="A610" s="29"/>
      <c r="B610" s="29"/>
    </row>
    <row r="611">
      <c r="A611" s="29"/>
      <c r="B611" s="29"/>
    </row>
    <row r="612">
      <c r="A612" s="29"/>
      <c r="B612" s="29"/>
    </row>
    <row r="613">
      <c r="A613" s="29"/>
      <c r="B613" s="29"/>
    </row>
    <row r="614">
      <c r="A614" s="29"/>
      <c r="B614" s="29"/>
    </row>
    <row r="615">
      <c r="A615" s="29"/>
      <c r="B615" s="29"/>
    </row>
    <row r="616">
      <c r="A616" s="29"/>
      <c r="B616" s="29"/>
    </row>
    <row r="617">
      <c r="A617" s="29"/>
      <c r="B617" s="29"/>
    </row>
    <row r="618">
      <c r="A618" s="29"/>
      <c r="B618" s="29"/>
    </row>
    <row r="619">
      <c r="A619" s="29"/>
      <c r="B619" s="29"/>
    </row>
    <row r="620">
      <c r="A620" s="29"/>
      <c r="B620" s="29"/>
    </row>
    <row r="621">
      <c r="A621" s="29"/>
      <c r="B621" s="29"/>
    </row>
    <row r="622">
      <c r="A622" s="29"/>
      <c r="B622" s="29"/>
    </row>
    <row r="623">
      <c r="A623" s="29"/>
      <c r="B623" s="29"/>
    </row>
    <row r="624">
      <c r="A624" s="29"/>
      <c r="B624" s="29"/>
    </row>
    <row r="625">
      <c r="A625" s="29"/>
      <c r="B625" s="29"/>
    </row>
    <row r="626">
      <c r="A626" s="29"/>
      <c r="B626" s="29"/>
    </row>
    <row r="627">
      <c r="A627" s="29"/>
      <c r="B627" s="29"/>
    </row>
    <row r="628">
      <c r="A628" s="29"/>
      <c r="B628" s="29"/>
    </row>
    <row r="629">
      <c r="A629" s="29"/>
      <c r="B629" s="29"/>
    </row>
    <row r="630">
      <c r="A630" s="29"/>
      <c r="B630" s="29"/>
    </row>
    <row r="631">
      <c r="A631" s="29"/>
      <c r="B631" s="29"/>
    </row>
    <row r="632">
      <c r="A632" s="29"/>
      <c r="B632" s="29"/>
    </row>
    <row r="633">
      <c r="A633" s="29"/>
      <c r="B633" s="29"/>
    </row>
    <row r="634">
      <c r="A634" s="29"/>
      <c r="B634" s="29"/>
    </row>
    <row r="635">
      <c r="A635" s="29"/>
      <c r="B635" s="29"/>
    </row>
    <row r="636">
      <c r="A636" s="29"/>
      <c r="B636" s="29"/>
    </row>
    <row r="637">
      <c r="A637" s="29"/>
      <c r="B637" s="29"/>
    </row>
    <row r="638">
      <c r="A638" s="29"/>
      <c r="B638" s="29"/>
    </row>
    <row r="639">
      <c r="A639" s="29"/>
      <c r="B639" s="29"/>
    </row>
    <row r="640">
      <c r="A640" s="29"/>
      <c r="B640" s="29"/>
    </row>
    <row r="641">
      <c r="A641" s="29"/>
      <c r="B641" s="29"/>
    </row>
    <row r="642">
      <c r="A642" s="29"/>
      <c r="B642" s="29"/>
    </row>
    <row r="643">
      <c r="A643" s="29"/>
      <c r="B643" s="29"/>
    </row>
    <row r="644">
      <c r="A644" s="29"/>
      <c r="B644" s="29"/>
    </row>
    <row r="645">
      <c r="A645" s="29"/>
      <c r="B645" s="29"/>
    </row>
    <row r="646">
      <c r="A646" s="29"/>
      <c r="B646" s="29"/>
    </row>
    <row r="647">
      <c r="A647" s="29"/>
      <c r="B647" s="29"/>
    </row>
    <row r="648">
      <c r="A648" s="29"/>
      <c r="B648" s="29"/>
    </row>
    <row r="649">
      <c r="A649" s="29"/>
      <c r="B649" s="29"/>
    </row>
    <row r="650">
      <c r="A650" s="29"/>
      <c r="B650" s="29"/>
    </row>
    <row r="651">
      <c r="A651" s="29"/>
      <c r="B651" s="29"/>
    </row>
    <row r="652">
      <c r="A652" s="29"/>
      <c r="B652" s="29"/>
    </row>
    <row r="653">
      <c r="A653" s="29"/>
      <c r="B653" s="29"/>
    </row>
    <row r="654">
      <c r="A654" s="29"/>
      <c r="B654" s="29"/>
    </row>
    <row r="655">
      <c r="A655" s="29"/>
      <c r="B655" s="29"/>
    </row>
    <row r="656">
      <c r="A656" s="29"/>
      <c r="B656" s="29"/>
    </row>
    <row r="657">
      <c r="A657" s="29"/>
      <c r="B657" s="29"/>
    </row>
    <row r="658">
      <c r="A658" s="29"/>
      <c r="B658" s="29"/>
    </row>
    <row r="659">
      <c r="A659" s="29"/>
      <c r="B659" s="29"/>
    </row>
    <row r="660">
      <c r="A660" s="29"/>
      <c r="B660" s="29"/>
    </row>
    <row r="661">
      <c r="A661" s="29"/>
      <c r="B661" s="29"/>
    </row>
    <row r="662">
      <c r="A662" s="29"/>
      <c r="B662" s="29"/>
    </row>
    <row r="663">
      <c r="A663" s="29"/>
      <c r="B663" s="29"/>
    </row>
    <row r="664">
      <c r="A664" s="29"/>
      <c r="B664" s="29"/>
    </row>
    <row r="665">
      <c r="A665" s="29"/>
      <c r="B665" s="29"/>
    </row>
    <row r="666">
      <c r="A666" s="29"/>
      <c r="B666" s="29"/>
    </row>
    <row r="667">
      <c r="A667" s="29"/>
      <c r="B667" s="29"/>
    </row>
    <row r="668">
      <c r="A668" s="29"/>
      <c r="B668" s="29"/>
    </row>
    <row r="669">
      <c r="A669" s="29"/>
      <c r="B669" s="29"/>
    </row>
    <row r="670">
      <c r="A670" s="29"/>
      <c r="B670" s="29"/>
    </row>
    <row r="671">
      <c r="A671" s="29"/>
      <c r="B671" s="29"/>
    </row>
    <row r="672">
      <c r="A672" s="29"/>
      <c r="B672" s="29"/>
    </row>
    <row r="673">
      <c r="A673" s="29"/>
      <c r="B673" s="29"/>
    </row>
    <row r="674">
      <c r="A674" s="29"/>
      <c r="B674" s="29"/>
    </row>
    <row r="675">
      <c r="A675" s="29"/>
      <c r="B675" s="29"/>
    </row>
    <row r="676">
      <c r="A676" s="29"/>
      <c r="B676" s="29"/>
    </row>
    <row r="677">
      <c r="A677" s="29"/>
      <c r="B677" s="29"/>
    </row>
    <row r="678">
      <c r="A678" s="29"/>
      <c r="B678" s="29"/>
    </row>
    <row r="679">
      <c r="A679" s="29"/>
      <c r="B679" s="29"/>
    </row>
    <row r="680">
      <c r="A680" s="29"/>
      <c r="B680" s="29"/>
    </row>
    <row r="681">
      <c r="A681" s="29"/>
      <c r="B681" s="29"/>
    </row>
    <row r="682">
      <c r="A682" s="29"/>
      <c r="B682" s="29"/>
    </row>
    <row r="683">
      <c r="A683" s="29"/>
      <c r="B683" s="29"/>
    </row>
    <row r="684">
      <c r="A684" s="29"/>
      <c r="B684" s="29"/>
    </row>
    <row r="685">
      <c r="A685" s="29"/>
      <c r="B685" s="29"/>
    </row>
    <row r="686">
      <c r="A686" s="29"/>
      <c r="B686" s="29"/>
    </row>
    <row r="687">
      <c r="A687" s="29"/>
      <c r="B687" s="29"/>
    </row>
    <row r="688">
      <c r="A688" s="29"/>
      <c r="B688" s="29"/>
    </row>
    <row r="689">
      <c r="A689" s="29"/>
      <c r="B689" s="29"/>
    </row>
    <row r="690">
      <c r="A690" s="29"/>
      <c r="B690" s="29"/>
    </row>
    <row r="691">
      <c r="A691" s="29"/>
      <c r="B691" s="29"/>
    </row>
    <row r="692">
      <c r="A692" s="29"/>
      <c r="B692" s="29"/>
    </row>
    <row r="693">
      <c r="A693" s="29"/>
      <c r="B693" s="29"/>
    </row>
    <row r="694">
      <c r="A694" s="29"/>
      <c r="B694" s="29"/>
    </row>
    <row r="695">
      <c r="A695" s="29"/>
      <c r="B695" s="29"/>
    </row>
    <row r="696">
      <c r="A696" s="29"/>
      <c r="B696" s="29"/>
    </row>
    <row r="697">
      <c r="A697" s="29"/>
      <c r="B697" s="29"/>
    </row>
    <row r="698">
      <c r="A698" s="29"/>
      <c r="B698" s="29"/>
    </row>
    <row r="699">
      <c r="A699" s="29"/>
      <c r="B699" s="29"/>
    </row>
    <row r="700">
      <c r="A700" s="29"/>
      <c r="B700" s="29"/>
    </row>
    <row r="701">
      <c r="A701" s="29"/>
      <c r="B701" s="29"/>
    </row>
    <row r="702">
      <c r="A702" s="29"/>
      <c r="B702" s="29"/>
    </row>
    <row r="703">
      <c r="A703" s="29"/>
      <c r="B703" s="29"/>
    </row>
    <row r="704">
      <c r="A704" s="29"/>
      <c r="B704" s="29"/>
    </row>
    <row r="705">
      <c r="A705" s="29"/>
      <c r="B705" s="29"/>
    </row>
    <row r="706">
      <c r="A706" s="29"/>
      <c r="B706" s="29"/>
    </row>
    <row r="707">
      <c r="A707" s="29"/>
      <c r="B707" s="29"/>
    </row>
    <row r="708">
      <c r="A708" s="29"/>
      <c r="B708" s="29"/>
    </row>
    <row r="709">
      <c r="A709" s="29"/>
      <c r="B709" s="29"/>
    </row>
    <row r="710">
      <c r="A710" s="29"/>
      <c r="B710" s="29"/>
    </row>
    <row r="711">
      <c r="A711" s="29"/>
      <c r="B711" s="29"/>
    </row>
    <row r="712">
      <c r="A712" s="29"/>
      <c r="B712" s="29"/>
    </row>
    <row r="713">
      <c r="A713" s="29"/>
      <c r="B713" s="29"/>
    </row>
    <row r="714">
      <c r="A714" s="29"/>
      <c r="B714" s="29"/>
    </row>
    <row r="715">
      <c r="A715" s="29"/>
      <c r="B715" s="29"/>
    </row>
    <row r="716">
      <c r="A716" s="29"/>
      <c r="B716" s="29"/>
    </row>
    <row r="717">
      <c r="A717" s="29"/>
      <c r="B717" s="29"/>
    </row>
    <row r="718">
      <c r="A718" s="29"/>
      <c r="B718" s="29"/>
    </row>
    <row r="719">
      <c r="A719" s="29"/>
      <c r="B719" s="29"/>
    </row>
    <row r="720">
      <c r="A720" s="29"/>
      <c r="B720" s="29"/>
    </row>
    <row r="721">
      <c r="A721" s="29"/>
      <c r="B721" s="29"/>
    </row>
    <row r="722">
      <c r="A722" s="29"/>
      <c r="B722" s="29"/>
    </row>
    <row r="723">
      <c r="A723" s="29"/>
      <c r="B723" s="29"/>
    </row>
    <row r="724">
      <c r="A724" s="29"/>
      <c r="B724" s="29"/>
    </row>
    <row r="725">
      <c r="A725" s="29"/>
      <c r="B725" s="29"/>
    </row>
    <row r="726">
      <c r="A726" s="29"/>
      <c r="B726" s="29"/>
    </row>
    <row r="727">
      <c r="A727" s="29"/>
      <c r="B727" s="29"/>
    </row>
    <row r="728">
      <c r="A728" s="29"/>
      <c r="B728" s="29"/>
    </row>
    <row r="729">
      <c r="A729" s="29"/>
      <c r="B729" s="29"/>
    </row>
    <row r="730">
      <c r="A730" s="29"/>
      <c r="B730" s="29"/>
    </row>
    <row r="731">
      <c r="A731" s="29"/>
      <c r="B731" s="29"/>
    </row>
    <row r="732">
      <c r="A732" s="29"/>
      <c r="B732" s="29"/>
    </row>
    <row r="733">
      <c r="A733" s="29"/>
      <c r="B733" s="29"/>
    </row>
    <row r="734">
      <c r="A734" s="29"/>
      <c r="B734" s="29"/>
    </row>
    <row r="735">
      <c r="A735" s="29"/>
      <c r="B735" s="29"/>
    </row>
    <row r="736">
      <c r="A736" s="29"/>
      <c r="B736" s="29"/>
    </row>
    <row r="737">
      <c r="A737" s="29"/>
      <c r="B737" s="29"/>
    </row>
    <row r="738">
      <c r="A738" s="29"/>
      <c r="B738" s="29"/>
    </row>
    <row r="739">
      <c r="A739" s="29"/>
      <c r="B739" s="29"/>
    </row>
    <row r="740">
      <c r="A740" s="29"/>
      <c r="B740" s="29"/>
    </row>
    <row r="741">
      <c r="A741" s="29"/>
      <c r="B741" s="29"/>
    </row>
    <row r="742">
      <c r="A742" s="29"/>
      <c r="B742" s="29"/>
    </row>
    <row r="743">
      <c r="A743" s="29"/>
      <c r="B743" s="29"/>
    </row>
    <row r="744">
      <c r="A744" s="29"/>
      <c r="B744" s="29"/>
    </row>
    <row r="745">
      <c r="A745" s="29"/>
      <c r="B745" s="29"/>
    </row>
    <row r="746">
      <c r="A746" s="29"/>
      <c r="B746" s="29"/>
    </row>
    <row r="747">
      <c r="A747" s="29"/>
      <c r="B747" s="29"/>
    </row>
    <row r="748">
      <c r="A748" s="29"/>
      <c r="B748" s="29"/>
    </row>
    <row r="749">
      <c r="A749" s="29"/>
      <c r="B749" s="29"/>
    </row>
    <row r="750">
      <c r="A750" s="29"/>
      <c r="B750" s="29"/>
    </row>
    <row r="751">
      <c r="A751" s="29"/>
      <c r="B751" s="29"/>
    </row>
    <row r="752">
      <c r="A752" s="29"/>
      <c r="B752" s="29"/>
    </row>
    <row r="753">
      <c r="A753" s="29"/>
      <c r="B753" s="29"/>
    </row>
    <row r="754">
      <c r="A754" s="29"/>
      <c r="B754" s="29"/>
    </row>
    <row r="755">
      <c r="A755" s="29"/>
      <c r="B755" s="29"/>
    </row>
    <row r="756">
      <c r="A756" s="29"/>
      <c r="B756" s="29"/>
    </row>
    <row r="757">
      <c r="A757" s="29"/>
      <c r="B757" s="29"/>
    </row>
    <row r="758">
      <c r="A758" s="29"/>
      <c r="B758" s="29"/>
    </row>
    <row r="759">
      <c r="A759" s="29"/>
      <c r="B759" s="29"/>
    </row>
    <row r="760">
      <c r="A760" s="29"/>
      <c r="B760" s="29"/>
    </row>
    <row r="761">
      <c r="A761" s="29"/>
      <c r="B761" s="29"/>
    </row>
    <row r="762">
      <c r="A762" s="29"/>
      <c r="B762" s="29"/>
    </row>
    <row r="763">
      <c r="A763" s="29"/>
      <c r="B763" s="29"/>
    </row>
    <row r="764">
      <c r="A764" s="29"/>
      <c r="B764" s="29"/>
    </row>
    <row r="765">
      <c r="A765" s="29"/>
      <c r="B765" s="29"/>
    </row>
    <row r="766">
      <c r="A766" s="29"/>
      <c r="B766" s="29"/>
    </row>
    <row r="767">
      <c r="A767" s="29"/>
      <c r="B767" s="29"/>
    </row>
    <row r="768">
      <c r="A768" s="29"/>
      <c r="B768" s="29"/>
    </row>
    <row r="769">
      <c r="A769" s="29"/>
      <c r="B769" s="29"/>
    </row>
    <row r="770">
      <c r="A770" s="29"/>
      <c r="B770" s="29"/>
    </row>
    <row r="771">
      <c r="A771" s="29"/>
      <c r="B771" s="29"/>
    </row>
    <row r="772">
      <c r="A772" s="29"/>
      <c r="B772" s="29"/>
    </row>
    <row r="773">
      <c r="A773" s="29"/>
      <c r="B773" s="29"/>
    </row>
    <row r="774">
      <c r="A774" s="29"/>
      <c r="B774" s="29"/>
    </row>
    <row r="775">
      <c r="A775" s="29"/>
      <c r="B775" s="29"/>
    </row>
    <row r="776">
      <c r="A776" s="29"/>
      <c r="B776" s="29"/>
    </row>
    <row r="777">
      <c r="A777" s="29"/>
      <c r="B777" s="29"/>
    </row>
    <row r="778">
      <c r="A778" s="29"/>
      <c r="B778" s="29"/>
    </row>
    <row r="779">
      <c r="A779" s="29"/>
      <c r="B779" s="29"/>
    </row>
    <row r="780">
      <c r="A780" s="29"/>
      <c r="B780" s="29"/>
    </row>
    <row r="781">
      <c r="A781" s="29"/>
      <c r="B781" s="29"/>
    </row>
    <row r="782">
      <c r="A782" s="29"/>
      <c r="B782" s="29"/>
    </row>
    <row r="783">
      <c r="A783" s="29"/>
      <c r="B783" s="29"/>
    </row>
    <row r="784">
      <c r="A784" s="29"/>
      <c r="B784" s="29"/>
    </row>
    <row r="785">
      <c r="A785" s="29"/>
      <c r="B785" s="29"/>
    </row>
    <row r="786">
      <c r="A786" s="29"/>
      <c r="B786" s="29"/>
    </row>
    <row r="787">
      <c r="A787" s="29"/>
      <c r="B787" s="29"/>
    </row>
    <row r="788">
      <c r="A788" s="29"/>
      <c r="B788" s="29"/>
    </row>
    <row r="789">
      <c r="A789" s="29"/>
      <c r="B789" s="29"/>
    </row>
    <row r="790">
      <c r="A790" s="29"/>
      <c r="B790" s="29"/>
    </row>
    <row r="791">
      <c r="A791" s="29"/>
      <c r="B791" s="29"/>
    </row>
    <row r="792">
      <c r="A792" s="29"/>
      <c r="B792" s="29"/>
    </row>
    <row r="793">
      <c r="A793" s="29"/>
      <c r="B793" s="29"/>
    </row>
    <row r="794">
      <c r="A794" s="29"/>
      <c r="B794" s="29"/>
    </row>
    <row r="795">
      <c r="A795" s="29"/>
      <c r="B795" s="29"/>
    </row>
    <row r="796">
      <c r="A796" s="29"/>
      <c r="B796" s="29"/>
    </row>
    <row r="797">
      <c r="A797" s="29"/>
      <c r="B797" s="29"/>
    </row>
    <row r="798">
      <c r="A798" s="29"/>
      <c r="B798" s="29"/>
    </row>
    <row r="799">
      <c r="A799" s="29"/>
      <c r="B799" s="29"/>
    </row>
    <row r="800">
      <c r="A800" s="29"/>
      <c r="B800" s="29"/>
    </row>
    <row r="801">
      <c r="A801" s="29"/>
      <c r="B801" s="29"/>
    </row>
    <row r="802">
      <c r="A802" s="29"/>
      <c r="B802" s="29"/>
    </row>
    <row r="803">
      <c r="A803" s="29"/>
      <c r="B803" s="29"/>
    </row>
    <row r="804">
      <c r="A804" s="29"/>
      <c r="B804" s="29"/>
    </row>
    <row r="805">
      <c r="A805" s="29"/>
      <c r="B805" s="29"/>
    </row>
    <row r="806">
      <c r="A806" s="29"/>
      <c r="B806" s="29"/>
    </row>
    <row r="807">
      <c r="A807" s="29"/>
      <c r="B807" s="29"/>
    </row>
    <row r="808">
      <c r="A808" s="29"/>
      <c r="B808" s="29"/>
    </row>
    <row r="809">
      <c r="A809" s="29"/>
      <c r="B809" s="29"/>
    </row>
    <row r="810">
      <c r="A810" s="29"/>
      <c r="B810" s="29"/>
    </row>
    <row r="811">
      <c r="A811" s="29"/>
      <c r="B811" s="29"/>
    </row>
    <row r="812">
      <c r="A812" s="29"/>
      <c r="B812" s="29"/>
    </row>
    <row r="813">
      <c r="A813" s="29"/>
      <c r="B813" s="29"/>
    </row>
    <row r="814">
      <c r="A814" s="29"/>
      <c r="B814" s="29"/>
    </row>
    <row r="815">
      <c r="A815" s="29"/>
      <c r="B815" s="29"/>
    </row>
    <row r="816">
      <c r="A816" s="29"/>
      <c r="B816" s="29"/>
    </row>
    <row r="817">
      <c r="A817" s="29"/>
      <c r="B817" s="29"/>
    </row>
    <row r="818">
      <c r="A818" s="29"/>
      <c r="B818" s="29"/>
    </row>
    <row r="819">
      <c r="A819" s="29"/>
      <c r="B819" s="29"/>
    </row>
    <row r="820">
      <c r="A820" s="29"/>
      <c r="B820" s="29"/>
    </row>
    <row r="821">
      <c r="A821" s="29"/>
      <c r="B821" s="29"/>
    </row>
    <row r="822">
      <c r="A822" s="29"/>
      <c r="B822" s="29"/>
    </row>
    <row r="823">
      <c r="A823" s="29"/>
      <c r="B823" s="29"/>
    </row>
    <row r="824">
      <c r="A824" s="29"/>
      <c r="B824" s="29"/>
    </row>
    <row r="825">
      <c r="A825" s="29"/>
      <c r="B825" s="29"/>
    </row>
    <row r="826">
      <c r="A826" s="29"/>
      <c r="B826" s="29"/>
    </row>
    <row r="827">
      <c r="A827" s="29"/>
      <c r="B827" s="29"/>
    </row>
    <row r="828">
      <c r="A828" s="29"/>
      <c r="B828" s="29"/>
    </row>
    <row r="829">
      <c r="A829" s="29"/>
      <c r="B829" s="29"/>
    </row>
    <row r="830">
      <c r="A830" s="29"/>
      <c r="B830" s="29"/>
    </row>
    <row r="831">
      <c r="A831" s="29"/>
      <c r="B831" s="29"/>
    </row>
    <row r="832">
      <c r="A832" s="29"/>
      <c r="B832" s="29"/>
    </row>
    <row r="833">
      <c r="A833" s="29"/>
      <c r="B833" s="29"/>
    </row>
    <row r="834">
      <c r="A834" s="29"/>
      <c r="B834" s="29"/>
    </row>
    <row r="835">
      <c r="A835" s="29"/>
      <c r="B835" s="29"/>
    </row>
    <row r="836">
      <c r="A836" s="29"/>
      <c r="B836" s="29"/>
    </row>
    <row r="837">
      <c r="A837" s="29"/>
      <c r="B837" s="29"/>
    </row>
    <row r="838">
      <c r="A838" s="29"/>
      <c r="B838" s="29"/>
    </row>
    <row r="839">
      <c r="A839" s="29"/>
      <c r="B839" s="29"/>
    </row>
    <row r="840">
      <c r="A840" s="29"/>
      <c r="B840" s="29"/>
    </row>
    <row r="841">
      <c r="A841" s="29"/>
      <c r="B841" s="29"/>
    </row>
    <row r="842">
      <c r="A842" s="29"/>
      <c r="B842" s="29"/>
    </row>
    <row r="843">
      <c r="A843" s="29"/>
      <c r="B843" s="29"/>
    </row>
    <row r="844">
      <c r="A844" s="29"/>
      <c r="B844" s="29"/>
    </row>
    <row r="845">
      <c r="A845" s="29"/>
      <c r="B845" s="29"/>
    </row>
    <row r="846">
      <c r="A846" s="29"/>
      <c r="B846" s="29"/>
    </row>
    <row r="847">
      <c r="A847" s="29"/>
      <c r="B847" s="29"/>
    </row>
    <row r="848">
      <c r="A848" s="29"/>
      <c r="B848" s="29"/>
    </row>
    <row r="849">
      <c r="A849" s="29"/>
      <c r="B849" s="29"/>
    </row>
    <row r="850">
      <c r="A850" s="29"/>
      <c r="B850" s="29"/>
    </row>
    <row r="851">
      <c r="A851" s="29"/>
      <c r="B851" s="29"/>
    </row>
    <row r="852">
      <c r="A852" s="29"/>
      <c r="B852" s="29"/>
    </row>
    <row r="853">
      <c r="A853" s="29"/>
      <c r="B853" s="29"/>
    </row>
    <row r="854">
      <c r="A854" s="29"/>
      <c r="B854" s="29"/>
    </row>
    <row r="855">
      <c r="A855" s="29"/>
      <c r="B855" s="29"/>
    </row>
    <row r="856">
      <c r="A856" s="29"/>
      <c r="B856" s="29"/>
    </row>
    <row r="857">
      <c r="A857" s="29"/>
      <c r="B857" s="29"/>
    </row>
    <row r="858">
      <c r="A858" s="29"/>
      <c r="B858" s="29"/>
    </row>
    <row r="859">
      <c r="A859" s="29"/>
      <c r="B859" s="29"/>
    </row>
    <row r="860">
      <c r="A860" s="29"/>
      <c r="B860" s="29"/>
    </row>
    <row r="861">
      <c r="A861" s="29"/>
      <c r="B861" s="29"/>
    </row>
    <row r="862">
      <c r="A862" s="29"/>
      <c r="B862" s="29"/>
    </row>
    <row r="863">
      <c r="A863" s="29"/>
      <c r="B863" s="29"/>
    </row>
    <row r="864">
      <c r="A864" s="29"/>
      <c r="B864" s="29"/>
    </row>
    <row r="865">
      <c r="A865" s="29"/>
      <c r="B865" s="29"/>
    </row>
    <row r="866">
      <c r="A866" s="29"/>
      <c r="B866" s="29"/>
    </row>
    <row r="867">
      <c r="A867" s="29"/>
      <c r="B867" s="29"/>
    </row>
    <row r="868">
      <c r="A868" s="29"/>
      <c r="B868" s="29"/>
    </row>
    <row r="869">
      <c r="A869" s="29"/>
      <c r="B869" s="29"/>
    </row>
    <row r="870">
      <c r="A870" s="29"/>
      <c r="B870" s="29"/>
    </row>
    <row r="871">
      <c r="A871" s="29"/>
      <c r="B871" s="29"/>
    </row>
    <row r="872">
      <c r="A872" s="29"/>
      <c r="B872" s="29"/>
    </row>
    <row r="873">
      <c r="A873" s="29"/>
      <c r="B873" s="29"/>
    </row>
    <row r="874">
      <c r="A874" s="29"/>
      <c r="B874" s="29"/>
    </row>
    <row r="875">
      <c r="A875" s="29"/>
      <c r="B875" s="29"/>
    </row>
    <row r="876">
      <c r="A876" s="29"/>
      <c r="B876" s="29"/>
    </row>
    <row r="877">
      <c r="A877" s="29"/>
      <c r="B877" s="29"/>
    </row>
    <row r="878">
      <c r="A878" s="29"/>
      <c r="B878" s="29"/>
    </row>
    <row r="879">
      <c r="A879" s="29"/>
      <c r="B879" s="29"/>
    </row>
    <row r="880">
      <c r="A880" s="29"/>
      <c r="B880" s="29"/>
    </row>
    <row r="881">
      <c r="A881" s="29"/>
      <c r="B881" s="29"/>
    </row>
    <row r="882">
      <c r="A882" s="29"/>
      <c r="B882" s="29"/>
    </row>
    <row r="883">
      <c r="A883" s="29"/>
      <c r="B883" s="29"/>
    </row>
    <row r="884">
      <c r="A884" s="29"/>
      <c r="B884" s="29"/>
    </row>
    <row r="885">
      <c r="A885" s="29"/>
      <c r="B885" s="29"/>
    </row>
    <row r="886">
      <c r="A886" s="29"/>
      <c r="B886" s="29"/>
    </row>
    <row r="887">
      <c r="A887" s="29"/>
      <c r="B887" s="29"/>
    </row>
    <row r="888">
      <c r="A888" s="29"/>
      <c r="B888" s="29"/>
    </row>
    <row r="889">
      <c r="A889" s="29"/>
      <c r="B889" s="29"/>
    </row>
    <row r="890">
      <c r="A890" s="29"/>
      <c r="B890" s="29"/>
    </row>
    <row r="891">
      <c r="A891" s="29"/>
      <c r="B891" s="29"/>
    </row>
    <row r="892">
      <c r="A892" s="29"/>
      <c r="B892" s="29"/>
    </row>
    <row r="893">
      <c r="A893" s="29"/>
      <c r="B893" s="29"/>
    </row>
    <row r="894">
      <c r="A894" s="29"/>
      <c r="B894" s="29"/>
    </row>
    <row r="895">
      <c r="A895" s="29"/>
      <c r="B895" s="29"/>
    </row>
    <row r="896">
      <c r="A896" s="29"/>
      <c r="B896" s="29"/>
    </row>
    <row r="897">
      <c r="A897" s="29"/>
      <c r="B897" s="29"/>
    </row>
    <row r="898">
      <c r="A898" s="29"/>
      <c r="B898" s="29"/>
    </row>
    <row r="899">
      <c r="A899" s="29"/>
      <c r="B899" s="29"/>
    </row>
    <row r="900">
      <c r="A900" s="29"/>
      <c r="B900" s="29"/>
    </row>
    <row r="901">
      <c r="A901" s="29"/>
      <c r="B901" s="29"/>
    </row>
    <row r="902">
      <c r="A902" s="29"/>
      <c r="B902" s="29"/>
    </row>
    <row r="903">
      <c r="A903" s="29"/>
      <c r="B903" s="29"/>
    </row>
    <row r="904">
      <c r="A904" s="29"/>
      <c r="B904" s="29"/>
    </row>
    <row r="905">
      <c r="A905" s="29"/>
      <c r="B905" s="29"/>
    </row>
    <row r="906">
      <c r="A906" s="29"/>
      <c r="B906" s="29"/>
    </row>
    <row r="907">
      <c r="A907" s="29"/>
      <c r="B907" s="29"/>
    </row>
    <row r="908">
      <c r="A908" s="29"/>
      <c r="B908" s="29"/>
    </row>
    <row r="909">
      <c r="A909" s="29"/>
      <c r="B909" s="29"/>
    </row>
    <row r="910">
      <c r="A910" s="29"/>
      <c r="B910" s="29"/>
    </row>
    <row r="911">
      <c r="A911" s="29"/>
      <c r="B911" s="29"/>
    </row>
    <row r="912">
      <c r="A912" s="29"/>
      <c r="B912" s="29"/>
    </row>
    <row r="913">
      <c r="A913" s="29"/>
      <c r="B913" s="29"/>
    </row>
    <row r="914">
      <c r="A914" s="29"/>
      <c r="B914" s="29"/>
    </row>
    <row r="915">
      <c r="A915" s="29"/>
      <c r="B915" s="29"/>
    </row>
    <row r="916">
      <c r="A916" s="29"/>
      <c r="B916" s="29"/>
    </row>
    <row r="917">
      <c r="A917" s="29"/>
      <c r="B917" s="29"/>
    </row>
    <row r="918">
      <c r="A918" s="29"/>
      <c r="B918" s="29"/>
    </row>
    <row r="919">
      <c r="A919" s="29"/>
      <c r="B919" s="29"/>
    </row>
    <row r="920">
      <c r="A920" s="29"/>
      <c r="B920" s="29"/>
    </row>
    <row r="921">
      <c r="A921" s="29"/>
      <c r="B921" s="29"/>
    </row>
    <row r="922">
      <c r="A922" s="29"/>
      <c r="B922" s="29"/>
    </row>
    <row r="923">
      <c r="A923" s="29"/>
      <c r="B923" s="29"/>
    </row>
    <row r="924">
      <c r="A924" s="29"/>
      <c r="B924" s="29"/>
    </row>
    <row r="925">
      <c r="A925" s="29"/>
      <c r="B925" s="29"/>
    </row>
    <row r="926">
      <c r="A926" s="29"/>
      <c r="B926" s="29"/>
    </row>
    <row r="927">
      <c r="A927" s="29"/>
      <c r="B927" s="29"/>
    </row>
    <row r="928">
      <c r="A928" s="29"/>
      <c r="B928" s="29"/>
    </row>
    <row r="929">
      <c r="A929" s="29"/>
      <c r="B929" s="29"/>
    </row>
    <row r="930">
      <c r="A930" s="29"/>
      <c r="B930" s="29"/>
    </row>
    <row r="931">
      <c r="A931" s="29"/>
      <c r="B931" s="29"/>
    </row>
    <row r="932">
      <c r="A932" s="29"/>
      <c r="B932" s="29"/>
    </row>
    <row r="933">
      <c r="A933" s="29"/>
      <c r="B933" s="29"/>
    </row>
    <row r="934">
      <c r="A934" s="29"/>
      <c r="B934" s="29"/>
    </row>
    <row r="935">
      <c r="A935" s="29"/>
      <c r="B935" s="29"/>
    </row>
    <row r="936">
      <c r="A936" s="29"/>
      <c r="B936" s="29"/>
    </row>
    <row r="937">
      <c r="A937" s="29"/>
      <c r="B937" s="29"/>
    </row>
    <row r="938">
      <c r="A938" s="29"/>
      <c r="B938" s="29"/>
    </row>
    <row r="939">
      <c r="A939" s="29"/>
      <c r="B939" s="29"/>
    </row>
    <row r="940">
      <c r="A940" s="29"/>
      <c r="B940" s="29"/>
    </row>
    <row r="941">
      <c r="A941" s="29"/>
      <c r="B941" s="29"/>
    </row>
    <row r="942">
      <c r="A942" s="29"/>
      <c r="B942" s="29"/>
    </row>
    <row r="943">
      <c r="A943" s="29"/>
      <c r="B943" s="29"/>
    </row>
    <row r="944">
      <c r="A944" s="29"/>
      <c r="B944" s="29"/>
    </row>
    <row r="945">
      <c r="A945" s="29"/>
      <c r="B945" s="29"/>
    </row>
    <row r="946">
      <c r="A946" s="29"/>
      <c r="B946" s="29"/>
    </row>
    <row r="947">
      <c r="A947" s="29"/>
      <c r="B947" s="29"/>
    </row>
    <row r="948">
      <c r="A948" s="29"/>
      <c r="B948" s="29"/>
    </row>
    <row r="949">
      <c r="A949" s="29"/>
      <c r="B949" s="29"/>
    </row>
    <row r="950">
      <c r="A950" s="29"/>
      <c r="B950" s="29"/>
    </row>
    <row r="951">
      <c r="A951" s="29"/>
      <c r="B951" s="29"/>
    </row>
    <row r="952">
      <c r="A952" s="29"/>
      <c r="B952" s="29"/>
    </row>
    <row r="953">
      <c r="A953" s="29"/>
      <c r="B953" s="29"/>
    </row>
    <row r="954">
      <c r="A954" s="29"/>
      <c r="B954" s="29"/>
    </row>
    <row r="955">
      <c r="A955" s="29"/>
      <c r="B955" s="29"/>
    </row>
    <row r="956">
      <c r="A956" s="29"/>
      <c r="B956" s="29"/>
    </row>
    <row r="957">
      <c r="A957" s="29"/>
      <c r="B957" s="29"/>
    </row>
    <row r="958">
      <c r="A958" s="29"/>
      <c r="B958" s="29"/>
    </row>
    <row r="959">
      <c r="A959" s="29"/>
      <c r="B959" s="29"/>
    </row>
    <row r="960">
      <c r="A960" s="29"/>
      <c r="B960" s="29"/>
    </row>
    <row r="961">
      <c r="A961" s="29"/>
      <c r="B961" s="29"/>
    </row>
    <row r="962">
      <c r="A962" s="29"/>
      <c r="B962" s="29"/>
    </row>
    <row r="963">
      <c r="A963" s="29"/>
      <c r="B963" s="29"/>
    </row>
    <row r="964">
      <c r="A964" s="29"/>
      <c r="B964" s="29"/>
    </row>
    <row r="965">
      <c r="A965" s="29"/>
      <c r="B965" s="29"/>
    </row>
    <row r="966">
      <c r="A966" s="29"/>
      <c r="B966" s="29"/>
    </row>
    <row r="967">
      <c r="A967" s="29"/>
      <c r="B967" s="29"/>
    </row>
    <row r="968">
      <c r="A968" s="29"/>
      <c r="B968" s="29"/>
    </row>
    <row r="969">
      <c r="A969" s="29"/>
      <c r="B969" s="29"/>
    </row>
    <row r="970">
      <c r="A970" s="29"/>
      <c r="B970" s="29"/>
    </row>
    <row r="971">
      <c r="A971" s="29"/>
      <c r="B971" s="29"/>
    </row>
    <row r="972">
      <c r="A972" s="29"/>
      <c r="B972" s="29"/>
    </row>
    <row r="973">
      <c r="A973" s="29"/>
      <c r="B973" s="29"/>
    </row>
    <row r="974">
      <c r="A974" s="29"/>
      <c r="B974" s="29"/>
    </row>
    <row r="975">
      <c r="A975" s="29"/>
      <c r="B975" s="29"/>
    </row>
    <row r="976">
      <c r="A976" s="29"/>
      <c r="B976" s="29"/>
    </row>
    <row r="977">
      <c r="A977" s="29"/>
      <c r="B977" s="29"/>
    </row>
    <row r="978">
      <c r="A978" s="29"/>
      <c r="B978" s="29"/>
    </row>
    <row r="979">
      <c r="A979" s="29"/>
      <c r="B979" s="29"/>
    </row>
    <row r="980">
      <c r="A980" s="29"/>
      <c r="B980" s="29"/>
    </row>
    <row r="981">
      <c r="A981" s="29"/>
      <c r="B981" s="29"/>
    </row>
    <row r="982">
      <c r="A982" s="29"/>
      <c r="B982" s="29"/>
    </row>
    <row r="983">
      <c r="A983" s="29"/>
      <c r="B983" s="29"/>
    </row>
    <row r="984">
      <c r="A984" s="29"/>
      <c r="B984" s="29"/>
    </row>
    <row r="985">
      <c r="A985" s="29"/>
      <c r="B985" s="29"/>
    </row>
    <row r="986">
      <c r="A986" s="29"/>
      <c r="B986" s="29"/>
    </row>
    <row r="987">
      <c r="A987" s="29"/>
      <c r="B987" s="29"/>
    </row>
    <row r="988">
      <c r="A988" s="29"/>
      <c r="B988" s="29"/>
    </row>
    <row r="989">
      <c r="A989" s="29"/>
      <c r="B989" s="29"/>
    </row>
    <row r="990">
      <c r="A990" s="29"/>
      <c r="B990" s="29"/>
    </row>
    <row r="991">
      <c r="A991" s="29"/>
      <c r="B991" s="29"/>
    </row>
    <row r="992">
      <c r="A992" s="29"/>
      <c r="B992" s="29"/>
    </row>
    <row r="993">
      <c r="A993" s="29"/>
      <c r="B993" s="29"/>
    </row>
    <row r="994">
      <c r="A994" s="29"/>
      <c r="B994" s="29"/>
    </row>
    <row r="995">
      <c r="A995" s="29"/>
      <c r="B995" s="29"/>
    </row>
    <row r="996">
      <c r="A996" s="29"/>
      <c r="B996" s="29"/>
    </row>
    <row r="997">
      <c r="A997" s="29"/>
      <c r="B997" s="29"/>
    </row>
    <row r="998">
      <c r="A998" s="29"/>
      <c r="B998" s="29"/>
    </row>
    <row r="999">
      <c r="A999" s="29"/>
      <c r="B999" s="29"/>
    </row>
    <row r="1000">
      <c r="A1000" s="29"/>
      <c r="B1000" s="29"/>
    </row>
  </sheetData>
  <drawing r:id="rId1"/>
</worksheet>
</file>